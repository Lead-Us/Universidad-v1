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ndre\Dropbox\Universidad\UAI\Finanzas II\"/>
    </mc:Choice>
  </mc:AlternateContent>
  <xr:revisionPtr revIDLastSave="0" documentId="13_ncr:1_{38FB7DE6-552E-4988-AF04-87C2CE5A0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8" i="1" l="1"/>
  <c r="C18" i="1" s="1"/>
  <c r="B17" i="1"/>
  <c r="C17" i="1" s="1"/>
  <c r="C16" i="1"/>
  <c r="C5" i="1"/>
  <c r="E7" i="1" s="1"/>
  <c r="E8" i="1" s="1"/>
  <c r="E9" i="1" s="1"/>
  <c r="B19" i="1" l="1"/>
  <c r="D7" i="1"/>
  <c r="D8" i="1"/>
  <c r="D17" i="1"/>
  <c r="D18" i="1"/>
  <c r="C11" i="1"/>
  <c r="D16" i="1"/>
  <c r="C19" i="1" l="1"/>
  <c r="D19" i="1" s="1"/>
  <c r="B20" i="1"/>
  <c r="D9" i="1"/>
  <c r="B21" i="1" l="1"/>
  <c r="C20" i="1"/>
  <c r="D20" i="1"/>
  <c r="E19" i="1" l="1"/>
  <c r="E17" i="1"/>
  <c r="D21" i="1"/>
  <c r="B22" i="1"/>
  <c r="C21" i="1"/>
  <c r="E21" i="1"/>
  <c r="E18" i="1"/>
  <c r="E20" i="1"/>
  <c r="E16" i="1"/>
  <c r="B23" i="1" l="1"/>
  <c r="C22" i="1"/>
  <c r="E22" i="1" s="1"/>
  <c r="C23" i="1" l="1"/>
  <c r="D23" i="1" s="1"/>
  <c r="B24" i="1"/>
  <c r="E23" i="1"/>
  <c r="D22" i="1"/>
  <c r="B25" i="1" l="1"/>
  <c r="C24" i="1"/>
  <c r="D24" i="1" s="1"/>
  <c r="E24" i="1" l="1"/>
  <c r="C25" i="1"/>
  <c r="E25" i="1" s="1"/>
  <c r="B26" i="1"/>
  <c r="D25" i="1" l="1"/>
  <c r="C26" i="1"/>
  <c r="D26" i="1" s="1"/>
  <c r="B27" i="1"/>
  <c r="E26" i="1" l="1"/>
  <c r="C27" i="1"/>
  <c r="B28" i="1"/>
  <c r="D27" i="1"/>
  <c r="E27" i="1"/>
  <c r="B29" i="1" l="1"/>
  <c r="C28" i="1"/>
  <c r="D28" i="1" s="1"/>
  <c r="E28" i="1" l="1"/>
  <c r="B30" i="1"/>
  <c r="C29" i="1"/>
  <c r="D29" i="1"/>
  <c r="E29" i="1"/>
  <c r="B31" i="1" l="1"/>
  <c r="C30" i="1"/>
  <c r="D30" i="1"/>
  <c r="E30" i="1"/>
  <c r="C31" i="1" l="1"/>
  <c r="B32" i="1"/>
  <c r="E31" i="1"/>
  <c r="D31" i="1"/>
  <c r="B33" i="1" l="1"/>
  <c r="C32" i="1"/>
  <c r="E32" i="1" s="1"/>
  <c r="D32" i="1" l="1"/>
  <c r="C33" i="1"/>
  <c r="D33" i="1" s="1"/>
  <c r="B34" i="1"/>
  <c r="E33" i="1" l="1"/>
  <c r="B35" i="1"/>
  <c r="C34" i="1"/>
  <c r="E34" i="1" s="1"/>
  <c r="D34" i="1"/>
  <c r="B36" i="1" l="1"/>
  <c r="C35" i="1"/>
  <c r="E35" i="1" s="1"/>
  <c r="D35" i="1"/>
  <c r="C36" i="1" l="1"/>
  <c r="E36" i="1" s="1"/>
  <c r="D36" i="1"/>
</calcChain>
</file>

<file path=xl/sharedStrings.xml><?xml version="1.0" encoding="utf-8"?>
<sst xmlns="http://schemas.openxmlformats.org/spreadsheetml/2006/main" count="17" uniqueCount="15">
  <si>
    <t>Estado</t>
  </si>
  <si>
    <t>Boom</t>
  </si>
  <si>
    <t>Normal</t>
  </si>
  <si>
    <t>Recesion</t>
  </si>
  <si>
    <t>Prob</t>
  </si>
  <si>
    <t>C</t>
  </si>
  <si>
    <t>T</t>
  </si>
  <si>
    <t xml:space="preserve">E(r) </t>
  </si>
  <si>
    <t xml:space="preserve">Var(r) </t>
  </si>
  <si>
    <t>σ</t>
  </si>
  <si>
    <t>Cov(C,T)</t>
  </si>
  <si>
    <t>Corr(C,T)</t>
  </si>
  <si>
    <t>Pesos</t>
  </si>
  <si>
    <t>E(rp)</t>
  </si>
  <si>
    <t>σp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</si>
</sst>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%"/>
    <numFmt numFmtId="167" formatCode="0.000000"/>
    <numFmt numFmtId="168" formatCode="0.0000000000000000%"/>
    <numFmt numFmtId="169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3" xfId="0" applyBorder="1"/>
    <xf numFmtId="10" fontId="0" fillId="0" borderId="3" xfId="1" applyNumberFormat="1" applyFont="1" applyBorder="1"/>
    <xf numFmtId="10" fontId="0" fillId="0" borderId="4" xfId="1" applyNumberFormat="1" applyFont="1" applyBorder="1"/>
    <xf numFmtId="0" fontId="0" fillId="0" borderId="8" xfId="0" applyBorder="1"/>
    <xf numFmtId="10" fontId="0" fillId="0" borderId="8" xfId="1" applyNumberFormat="1" applyFont="1" applyBorder="1"/>
    <xf numFmtId="10" fontId="0" fillId="0" borderId="9" xfId="1" applyNumberFormat="1" applyFont="1" applyBorder="1"/>
    <xf numFmtId="165" fontId="0" fillId="0" borderId="0" xfId="0" applyNumberFormat="1"/>
    <xf numFmtId="165" fontId="0" fillId="0" borderId="6" xfId="0" applyNumberFormat="1" applyBorder="1"/>
    <xf numFmtId="164" fontId="0" fillId="0" borderId="0" xfId="0" applyNumberFormat="1"/>
    <xf numFmtId="0" fontId="2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9" fontId="0" fillId="0" borderId="0" xfId="0" applyNumberFormat="1"/>
    <xf numFmtId="0" fontId="2" fillId="2" borderId="0" xfId="0" applyFont="1" applyFill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9" fontId="0" fillId="0" borderId="0" xfId="1" applyFon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1" applyNumberFormat="1" applyFont="1"/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9" fontId="0" fillId="3" borderId="5" xfId="0" applyNumberForma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10" fontId="0" fillId="3" borderId="6" xfId="0" applyNumberFormat="1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9" fontId="0" fillId="4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10" fontId="0" fillId="4" borderId="6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Sheet1!$E$16:$E$36</c:f>
              <c:numCache>
                <c:formatCode>0.00%</c:formatCode>
                <c:ptCount val="21"/>
                <c:pt idx="0">
                  <c:v>8.6261231152818571E-2</c:v>
                </c:pt>
                <c:pt idx="1">
                  <c:v>8.1530684407773724E-2</c:v>
                </c:pt>
                <c:pt idx="2">
                  <c:v>7.6838857357459434E-2</c:v>
                </c:pt>
                <c:pt idx="3">
                  <c:v>7.2193299550581541E-2</c:v>
                </c:pt>
                <c:pt idx="4">
                  <c:v>6.7603550202633589E-2</c:v>
                </c:pt>
                <c:pt idx="5">
                  <c:v>6.3081792143216714E-2</c:v>
                </c:pt>
                <c:pt idx="6">
                  <c:v>5.8643754995736749E-2</c:v>
                </c:pt>
                <c:pt idx="7">
                  <c:v>5.4309966856922305E-2</c:v>
                </c:pt>
                <c:pt idx="8">
                  <c:v>5.0107484470885186E-2</c:v>
                </c:pt>
                <c:pt idx="9">
                  <c:v>4.6072253038027124E-2</c:v>
                </c:pt>
                <c:pt idx="10">
                  <c:v>4.2252218876645986E-2</c:v>
                </c:pt>
                <c:pt idx="11">
                  <c:v>3.8711141806978516E-2</c:v>
                </c:pt>
                <c:pt idx="12">
                  <c:v>3.5532520315902164E-2</c:v>
                </c:pt>
                <c:pt idx="13">
                  <c:v>3.2821829626027851E-2</c:v>
                </c:pt>
                <c:pt idx="14">
                  <c:v>3.0703257156204124E-2</c:v>
                </c:pt>
                <c:pt idx="15">
                  <c:v>2.9305502896213871E-2</c:v>
                </c:pt>
                <c:pt idx="16">
                  <c:v>2.8733952042836013E-2</c:v>
                </c:pt>
                <c:pt idx="17">
                  <c:v>2.9037432737761094E-2</c:v>
                </c:pt>
                <c:pt idx="18">
                  <c:v>3.0189567734566856E-2</c:v>
                </c:pt>
                <c:pt idx="19">
                  <c:v>3.2099104348875543E-2</c:v>
                </c:pt>
                <c:pt idx="20">
                  <c:v>3.4641016151377546E-2</c:v>
                </c:pt>
              </c:numCache>
            </c:numRef>
          </c:xVal>
          <c:yVal>
            <c:numRef>
              <c:f>Sheet1!$D$16:$D$36</c:f>
              <c:numCache>
                <c:formatCode>0.00%</c:formatCode>
                <c:ptCount val="21"/>
                <c:pt idx="0">
                  <c:v>0.17699999999999999</c:v>
                </c:pt>
                <c:pt idx="1">
                  <c:v>0.17415</c:v>
                </c:pt>
                <c:pt idx="2">
                  <c:v>0.17130000000000001</c:v>
                </c:pt>
                <c:pt idx="3">
                  <c:v>0.16844999999999999</c:v>
                </c:pt>
                <c:pt idx="4">
                  <c:v>0.1656</c:v>
                </c:pt>
                <c:pt idx="5">
                  <c:v>0.16274999999999998</c:v>
                </c:pt>
                <c:pt idx="6">
                  <c:v>0.15989999999999999</c:v>
                </c:pt>
                <c:pt idx="7">
                  <c:v>0.15705</c:v>
                </c:pt>
                <c:pt idx="8">
                  <c:v>0.1542</c:v>
                </c:pt>
                <c:pt idx="9">
                  <c:v>0.15134999999999998</c:v>
                </c:pt>
                <c:pt idx="10">
                  <c:v>0.14849999999999999</c:v>
                </c:pt>
                <c:pt idx="11">
                  <c:v>0.14565</c:v>
                </c:pt>
                <c:pt idx="12">
                  <c:v>0.14279999999999998</c:v>
                </c:pt>
                <c:pt idx="13">
                  <c:v>0.13994999999999999</c:v>
                </c:pt>
                <c:pt idx="14">
                  <c:v>0.1371</c:v>
                </c:pt>
                <c:pt idx="15">
                  <c:v>0.13424999999999998</c:v>
                </c:pt>
                <c:pt idx="16">
                  <c:v>0.13139999999999999</c:v>
                </c:pt>
                <c:pt idx="17">
                  <c:v>0.12855</c:v>
                </c:pt>
                <c:pt idx="18">
                  <c:v>0.12569999999999998</c:v>
                </c:pt>
                <c:pt idx="19">
                  <c:v>0.12284999999999999</c:v>
                </c:pt>
                <c:pt idx="20">
                  <c:v>0.12000000000000002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4-4744-BC26-B578CD6C1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666352"/>
        <c:axId val="2125660912"/>
      </c:scatterChart>
      <c:valAx>
        <c:axId val="21256663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5660912"/>
        <c:crosses val="autoZero"/>
        <c:crossBetween val="midCat"/>
      </c:valAx>
      <c:valAx>
        <c:axId val="2125660912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566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1</xdr:row>
      <xdr:rowOff>42861</xdr:rowOff>
    </xdr:from>
    <xdr:to>
      <xdr:col>19</xdr:col>
      <xdr:colOff>372340</xdr:colOff>
      <xdr:row>32</xdr:row>
      <xdr:rowOff>43295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1"/>
  <sheetViews>
    <sheetView tabSelected="1" zoomScale="110" zoomScaleNormal="110" workbookViewId="0">
      <selection activeCell="Y17" sqref="Y17"/>
    </sheetView>
  </sheetViews>
  <sheetFormatPr baseColWidth="10" defaultColWidth="8.85546875" defaultRowHeight="15" x14ac:dyDescent="0.25"/>
  <cols>
    <col min="1" max="1" width="2.85546875" customWidth="1"/>
    <col min="5" max="5" width="10.140625" bestFit="1" customWidth="1"/>
    <col min="10" max="10" width="11.42578125" customWidth="1"/>
    <col min="13" max="13" width="9.5703125" bestFit="1" customWidth="1"/>
  </cols>
  <sheetData>
    <row r="2" spans="2:8" x14ac:dyDescent="0.25">
      <c r="B2" s="1" t="s">
        <v>0</v>
      </c>
      <c r="C2" s="2" t="s">
        <v>4</v>
      </c>
      <c r="D2" s="2" t="s">
        <v>5</v>
      </c>
      <c r="E2" s="3" t="s">
        <v>6</v>
      </c>
    </row>
    <row r="3" spans="2:8" x14ac:dyDescent="0.25">
      <c r="B3" s="4" t="s">
        <v>1</v>
      </c>
      <c r="C3" s="5">
        <v>0.3</v>
      </c>
      <c r="D3" s="6">
        <v>7.0000000000000007E-2</v>
      </c>
      <c r="E3" s="7">
        <v>0.25</v>
      </c>
      <c r="G3" s="38"/>
      <c r="H3" s="38"/>
    </row>
    <row r="4" spans="2:8" x14ac:dyDescent="0.25">
      <c r="B4" s="4" t="s">
        <v>2</v>
      </c>
      <c r="C4" s="5">
        <v>0.5</v>
      </c>
      <c r="D4" s="6">
        <v>0.15</v>
      </c>
      <c r="E4" s="7">
        <v>0.2</v>
      </c>
      <c r="G4" s="38"/>
      <c r="H4" s="38"/>
    </row>
    <row r="5" spans="2:8" x14ac:dyDescent="0.25">
      <c r="B5" s="8" t="s">
        <v>3</v>
      </c>
      <c r="C5" s="9">
        <f>1-SUM(C3:C4)</f>
        <v>0.19999999999999996</v>
      </c>
      <c r="D5" s="10">
        <v>0.12</v>
      </c>
      <c r="E5" s="11">
        <v>0.01</v>
      </c>
      <c r="G5" s="38"/>
      <c r="H5" s="38"/>
    </row>
    <row r="7" spans="2:8" x14ac:dyDescent="0.25">
      <c r="B7" s="1" t="s">
        <v>7</v>
      </c>
      <c r="C7" s="12"/>
      <c r="D7" s="13">
        <f>SUMPRODUCT($C$3:$C$5,D3:D5)</f>
        <v>0.12</v>
      </c>
      <c r="E7" s="14">
        <f>SUMPRODUCT($C$3:$C$5,E3:E5)</f>
        <v>0.17699999999999999</v>
      </c>
    </row>
    <row r="8" spans="2:8" x14ac:dyDescent="0.25">
      <c r="B8" s="21" t="s">
        <v>8</v>
      </c>
      <c r="D8" s="18">
        <f>$C$3*(D3-$D$7)^2+$C$4*(D4-$D$7)^2+$C$5*(D5-$D$7)^2</f>
        <v>1.1999999999999997E-3</v>
      </c>
      <c r="E8" s="19">
        <f>$C$3*(E3-$E$7)^2+$C$4*(E4-$E$7)^2+$C$5*(E5-$E$7)^2</f>
        <v>7.440999999999998E-3</v>
      </c>
    </row>
    <row r="9" spans="2:8" x14ac:dyDescent="0.25">
      <c r="B9" s="22" t="s">
        <v>9</v>
      </c>
      <c r="C9" s="15"/>
      <c r="D9" s="16">
        <f>SQRT(D8)</f>
        <v>3.4641016151377539E-2</v>
      </c>
      <c r="E9" s="17">
        <f>SQRT(E8)</f>
        <v>8.6261231152818571E-2</v>
      </c>
    </row>
    <row r="11" spans="2:8" x14ac:dyDescent="0.25">
      <c r="B11" s="40" t="s">
        <v>10</v>
      </c>
      <c r="C11" s="41">
        <f>C3*(D3-D7)*(E3-E7)+C4*(D4-D7)*(E4-E7)+C5*(D5-D7)*(E5-E7)</f>
        <v>-7.4999999999999958E-4</v>
      </c>
      <c r="G11" s="39"/>
      <c r="H11" s="39"/>
    </row>
    <row r="12" spans="2:8" x14ac:dyDescent="0.25">
      <c r="B12" s="40" t="s">
        <v>11</v>
      </c>
      <c r="C12" s="42">
        <f>C11/(D9*E9)</f>
        <v>-0.25098917329680992</v>
      </c>
    </row>
    <row r="14" spans="2:8" x14ac:dyDescent="0.25">
      <c r="B14" s="51" t="s">
        <v>12</v>
      </c>
      <c r="C14" s="51"/>
    </row>
    <row r="15" spans="2:8" x14ac:dyDescent="0.25">
      <c r="B15" s="21" t="s">
        <v>5</v>
      </c>
      <c r="C15" s="24" t="s">
        <v>6</v>
      </c>
      <c r="D15" s="2" t="s">
        <v>13</v>
      </c>
      <c r="E15" s="33" t="s">
        <v>14</v>
      </c>
    </row>
    <row r="16" spans="2:8" x14ac:dyDescent="0.25">
      <c r="B16" s="25">
        <v>0</v>
      </c>
      <c r="C16" s="26">
        <f>1-B16</f>
        <v>1</v>
      </c>
      <c r="D16" s="27">
        <f t="shared" ref="D16:D36" si="0">B16*$D$7+C16*$E$7</f>
        <v>0.17699999999999999</v>
      </c>
      <c r="E16" s="28">
        <f t="shared" ref="E16:E25" si="1">((B16*$D$9)^2+(C16*$E$9)^2+2*$D$9*$E$9*B16*C16*$C$12)^(1/2)</f>
        <v>8.6261231152818571E-2</v>
      </c>
    </row>
    <row r="17" spans="2:13" x14ac:dyDescent="0.25">
      <c r="B17" s="25">
        <f>B16+0.05</f>
        <v>0.05</v>
      </c>
      <c r="C17" s="26">
        <f>1-B17</f>
        <v>0.95</v>
      </c>
      <c r="D17" s="27">
        <f t="shared" si="0"/>
        <v>0.17415</v>
      </c>
      <c r="E17" s="28">
        <f t="shared" si="1"/>
        <v>8.1530684407773724E-2</v>
      </c>
    </row>
    <row r="18" spans="2:13" x14ac:dyDescent="0.25">
      <c r="B18" s="25">
        <f>B17+0.05</f>
        <v>0.1</v>
      </c>
      <c r="C18" s="26">
        <f>1-B18</f>
        <v>0.9</v>
      </c>
      <c r="D18" s="27">
        <f t="shared" si="0"/>
        <v>0.17130000000000001</v>
      </c>
      <c r="E18" s="28">
        <f t="shared" si="1"/>
        <v>7.6838857357459434E-2</v>
      </c>
    </row>
    <row r="19" spans="2:13" x14ac:dyDescent="0.25">
      <c r="B19" s="25">
        <f t="shared" ref="B19:B27" si="2">B18+0.05</f>
        <v>0.15000000000000002</v>
      </c>
      <c r="C19" s="26">
        <f t="shared" ref="C19:C36" si="3">1-B19</f>
        <v>0.85</v>
      </c>
      <c r="D19" s="27">
        <f t="shared" si="0"/>
        <v>0.16844999999999999</v>
      </c>
      <c r="E19" s="28">
        <f t="shared" si="1"/>
        <v>7.2193299550581541E-2</v>
      </c>
    </row>
    <row r="20" spans="2:13" x14ac:dyDescent="0.25">
      <c r="B20" s="25">
        <f t="shared" si="2"/>
        <v>0.2</v>
      </c>
      <c r="C20" s="26">
        <f t="shared" si="3"/>
        <v>0.8</v>
      </c>
      <c r="D20" s="27">
        <f t="shared" si="0"/>
        <v>0.1656</v>
      </c>
      <c r="E20" s="28">
        <f t="shared" si="1"/>
        <v>6.7603550202633589E-2</v>
      </c>
    </row>
    <row r="21" spans="2:13" x14ac:dyDescent="0.25">
      <c r="B21" s="25">
        <f t="shared" si="2"/>
        <v>0.25</v>
      </c>
      <c r="C21" s="26">
        <f t="shared" si="3"/>
        <v>0.75</v>
      </c>
      <c r="D21" s="27">
        <f t="shared" si="0"/>
        <v>0.16274999999999998</v>
      </c>
      <c r="E21" s="28">
        <f t="shared" si="1"/>
        <v>6.3081792143216714E-2</v>
      </c>
      <c r="I21" s="18"/>
      <c r="J21" s="36"/>
    </row>
    <row r="22" spans="2:13" x14ac:dyDescent="0.25">
      <c r="B22" s="25">
        <f t="shared" si="2"/>
        <v>0.3</v>
      </c>
      <c r="C22" s="26">
        <f t="shared" si="3"/>
        <v>0.7</v>
      </c>
      <c r="D22" s="27">
        <f t="shared" si="0"/>
        <v>0.15989999999999999</v>
      </c>
      <c r="E22" s="28">
        <f t="shared" si="1"/>
        <v>5.8643754995736749E-2</v>
      </c>
      <c r="I22" s="20"/>
    </row>
    <row r="23" spans="2:13" x14ac:dyDescent="0.25">
      <c r="B23" s="25">
        <f t="shared" si="2"/>
        <v>0.35</v>
      </c>
      <c r="C23" s="26">
        <f t="shared" si="3"/>
        <v>0.65</v>
      </c>
      <c r="D23" s="27">
        <f t="shared" si="0"/>
        <v>0.15705</v>
      </c>
      <c r="E23" s="28">
        <f t="shared" si="1"/>
        <v>5.4309966856922305E-2</v>
      </c>
      <c r="I23" s="36"/>
      <c r="J23" s="35"/>
      <c r="L23" s="36"/>
      <c r="M23" s="36"/>
    </row>
    <row r="24" spans="2:13" x14ac:dyDescent="0.25">
      <c r="B24" s="25">
        <f t="shared" si="2"/>
        <v>0.39999999999999997</v>
      </c>
      <c r="C24" s="26">
        <f t="shared" si="3"/>
        <v>0.60000000000000009</v>
      </c>
      <c r="D24" s="27">
        <f t="shared" si="0"/>
        <v>0.1542</v>
      </c>
      <c r="E24" s="28">
        <f t="shared" si="1"/>
        <v>5.0107484470885186E-2</v>
      </c>
      <c r="J24" s="34"/>
      <c r="L24" s="36"/>
      <c r="M24" s="36"/>
    </row>
    <row r="25" spans="2:13" x14ac:dyDescent="0.25">
      <c r="B25" s="25">
        <f t="shared" si="2"/>
        <v>0.44999999999999996</v>
      </c>
      <c r="C25" s="26">
        <f t="shared" si="3"/>
        <v>0.55000000000000004</v>
      </c>
      <c r="D25" s="27">
        <f t="shared" si="0"/>
        <v>0.15134999999999998</v>
      </c>
      <c r="E25" s="28">
        <f t="shared" si="1"/>
        <v>4.6072253038027124E-2</v>
      </c>
    </row>
    <row r="26" spans="2:13" x14ac:dyDescent="0.25">
      <c r="B26" s="25">
        <f t="shared" si="2"/>
        <v>0.49999999999999994</v>
      </c>
      <c r="C26" s="26">
        <f t="shared" si="3"/>
        <v>0.5</v>
      </c>
      <c r="D26" s="27">
        <f t="shared" si="0"/>
        <v>0.14849999999999999</v>
      </c>
      <c r="E26" s="28">
        <f t="shared" ref="E26:E36" si="4">((B26*$D$9)^2+(C26*$E$9)^2+2*$D$9*$E$9*B26*C26*$C$12)^(1/2)</f>
        <v>4.2252218876645986E-2</v>
      </c>
      <c r="J26" s="38"/>
    </row>
    <row r="27" spans="2:13" x14ac:dyDescent="0.25">
      <c r="B27" s="47">
        <f t="shared" si="2"/>
        <v>0.54999999999999993</v>
      </c>
      <c r="C27" s="48">
        <f t="shared" si="3"/>
        <v>0.45000000000000007</v>
      </c>
      <c r="D27" s="49">
        <f t="shared" si="0"/>
        <v>0.14565</v>
      </c>
      <c r="E27" s="50">
        <f t="shared" si="4"/>
        <v>3.8711141806978516E-2</v>
      </c>
      <c r="J27" s="37"/>
    </row>
    <row r="28" spans="2:13" x14ac:dyDescent="0.25">
      <c r="B28" s="25">
        <f t="shared" ref="B28:B36" si="5">B27+0.05</f>
        <v>0.6</v>
      </c>
      <c r="C28" s="26">
        <f t="shared" si="3"/>
        <v>0.4</v>
      </c>
      <c r="D28" s="27">
        <f t="shared" si="0"/>
        <v>0.14279999999999998</v>
      </c>
      <c r="E28" s="28">
        <f t="shared" si="4"/>
        <v>3.5532520315902164E-2</v>
      </c>
    </row>
    <row r="29" spans="2:13" x14ac:dyDescent="0.25">
      <c r="B29" s="25">
        <f t="shared" si="5"/>
        <v>0.65</v>
      </c>
      <c r="C29" s="26">
        <f t="shared" si="3"/>
        <v>0.35</v>
      </c>
      <c r="D29" s="27">
        <f t="shared" si="0"/>
        <v>0.13994999999999999</v>
      </c>
      <c r="E29" s="28">
        <f t="shared" si="4"/>
        <v>3.2821829626027851E-2</v>
      </c>
    </row>
    <row r="30" spans="2:13" x14ac:dyDescent="0.25">
      <c r="B30" s="25">
        <f t="shared" si="5"/>
        <v>0.70000000000000007</v>
      </c>
      <c r="C30" s="26">
        <f t="shared" si="3"/>
        <v>0.29999999999999993</v>
      </c>
      <c r="D30" s="27">
        <f t="shared" si="0"/>
        <v>0.1371</v>
      </c>
      <c r="E30" s="28">
        <f t="shared" si="4"/>
        <v>3.0703257156204124E-2</v>
      </c>
    </row>
    <row r="31" spans="2:13" x14ac:dyDescent="0.25">
      <c r="B31" s="25">
        <f t="shared" si="5"/>
        <v>0.75000000000000011</v>
      </c>
      <c r="C31" s="26">
        <f t="shared" si="3"/>
        <v>0.24999999999999989</v>
      </c>
      <c r="D31" s="27">
        <f t="shared" si="0"/>
        <v>0.13424999999999998</v>
      </c>
      <c r="E31" s="28">
        <f t="shared" si="4"/>
        <v>2.9305502896213871E-2</v>
      </c>
    </row>
    <row r="32" spans="2:13" x14ac:dyDescent="0.25">
      <c r="B32" s="43">
        <f t="shared" si="5"/>
        <v>0.80000000000000016</v>
      </c>
      <c r="C32" s="44">
        <f t="shared" si="3"/>
        <v>0.19999999999999984</v>
      </c>
      <c r="D32" s="45">
        <f t="shared" si="0"/>
        <v>0.13139999999999999</v>
      </c>
      <c r="E32" s="46">
        <f t="shared" si="4"/>
        <v>2.8733952042836013E-2</v>
      </c>
    </row>
    <row r="33" spans="2:5" x14ac:dyDescent="0.25">
      <c r="B33" s="43">
        <f t="shared" si="5"/>
        <v>0.8500000000000002</v>
      </c>
      <c r="C33" s="44">
        <f t="shared" si="3"/>
        <v>0.1499999999999998</v>
      </c>
      <c r="D33" s="45">
        <f t="shared" si="0"/>
        <v>0.12855</v>
      </c>
      <c r="E33" s="46">
        <f t="shared" si="4"/>
        <v>2.9037432737761094E-2</v>
      </c>
    </row>
    <row r="34" spans="2:5" x14ac:dyDescent="0.25">
      <c r="B34" s="25">
        <f t="shared" si="5"/>
        <v>0.90000000000000024</v>
      </c>
      <c r="C34" s="26">
        <f t="shared" si="3"/>
        <v>9.9999999999999756E-2</v>
      </c>
      <c r="D34" s="27">
        <f t="shared" si="0"/>
        <v>0.12569999999999998</v>
      </c>
      <c r="E34" s="28">
        <f t="shared" si="4"/>
        <v>3.0189567734566856E-2</v>
      </c>
    </row>
    <row r="35" spans="2:5" x14ac:dyDescent="0.25">
      <c r="B35" s="25">
        <f t="shared" si="5"/>
        <v>0.95000000000000029</v>
      </c>
      <c r="C35" s="26">
        <f t="shared" si="3"/>
        <v>4.9999999999999711E-2</v>
      </c>
      <c r="D35" s="27">
        <f t="shared" si="0"/>
        <v>0.12284999999999999</v>
      </c>
      <c r="E35" s="28">
        <f t="shared" si="4"/>
        <v>3.2099104348875543E-2</v>
      </c>
    </row>
    <row r="36" spans="2:5" x14ac:dyDescent="0.25">
      <c r="B36" s="29">
        <f t="shared" si="5"/>
        <v>1.0000000000000002</v>
      </c>
      <c r="C36" s="30">
        <f t="shared" si="3"/>
        <v>0</v>
      </c>
      <c r="D36" s="31">
        <f t="shared" si="0"/>
        <v>0.12000000000000002</v>
      </c>
      <c r="E36" s="32">
        <f t="shared" si="4"/>
        <v>3.4641016151377546E-2</v>
      </c>
    </row>
    <row r="37" spans="2:5" x14ac:dyDescent="0.25">
      <c r="B37" s="23"/>
      <c r="C37" s="23"/>
    </row>
    <row r="38" spans="2:5" x14ac:dyDescent="0.25">
      <c r="B38" s="23"/>
      <c r="C38" s="23"/>
    </row>
    <row r="39" spans="2:5" x14ac:dyDescent="0.25">
      <c r="B39" s="23"/>
      <c r="C39" s="23"/>
    </row>
    <row r="40" spans="2:5" x14ac:dyDescent="0.25">
      <c r="B40" s="23"/>
      <c r="C40" s="23"/>
    </row>
    <row r="41" spans="2:5" x14ac:dyDescent="0.25">
      <c r="B41" s="23"/>
      <c r="C41" s="23"/>
    </row>
  </sheetData>
  <mergeCells count="1">
    <mergeCell ref="B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Andres Cabrera</cp:lastModifiedBy>
  <dcterms:created xsi:type="dcterms:W3CDTF">2017-07-28T20:45:02Z</dcterms:created>
  <dcterms:modified xsi:type="dcterms:W3CDTF">2023-03-27T02:10:05Z</dcterms:modified>
</cp:coreProperties>
</file>