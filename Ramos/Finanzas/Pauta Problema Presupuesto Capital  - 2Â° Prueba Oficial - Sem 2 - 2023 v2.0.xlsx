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Dropbox\Universidad\UAI\Finanzas\2023 - 2\Prueba2\"/>
    </mc:Choice>
  </mc:AlternateContent>
  <xr:revisionPtr revIDLastSave="0" documentId="13_ncr:1_{D7126B57-D918-4560-A493-0B48288FE9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ción Chino (1)" sheetId="8" r:id="rId1"/>
    <sheet name="Opción Chino (2)" sheetId="9" r:id="rId2"/>
    <sheet name="Opción Corea (1)" sheetId="10" r:id="rId3"/>
    <sheet name="Opción Corea (2)" sheetId="11" r:id="rId4"/>
  </sheets>
  <calcPr calcId="191029"/>
</workbook>
</file>

<file path=xl/calcChain.xml><?xml version="1.0" encoding="utf-8"?>
<calcChain xmlns="http://schemas.openxmlformats.org/spreadsheetml/2006/main">
  <c r="C18" i="11" l="1"/>
  <c r="K37" i="11"/>
  <c r="P28" i="11"/>
  <c r="I20" i="11"/>
  <c r="I16" i="11"/>
  <c r="I8" i="11"/>
  <c r="C8" i="11"/>
  <c r="C8" i="10"/>
  <c r="I16" i="10"/>
  <c r="I20" i="10"/>
  <c r="P28" i="10"/>
  <c r="I8" i="10"/>
  <c r="I20" i="9"/>
  <c r="K37" i="9"/>
  <c r="I16" i="9"/>
  <c r="I8" i="9"/>
  <c r="C8" i="9"/>
  <c r="P28" i="9"/>
  <c r="R5" i="8"/>
  <c r="S5" i="8" s="1"/>
  <c r="T5" i="8" s="1"/>
  <c r="U5" i="8" s="1"/>
  <c r="K20" i="8"/>
  <c r="I20" i="8"/>
  <c r="Q6" i="8"/>
  <c r="R6" i="8" s="1"/>
  <c r="S6" i="8" s="1"/>
  <c r="T6" i="8" s="1"/>
  <c r="U6" i="8" s="1"/>
  <c r="I16" i="8"/>
  <c r="C8" i="8"/>
  <c r="V30" i="11" l="1"/>
  <c r="W30" i="10"/>
  <c r="W30" i="9"/>
  <c r="W30" i="8"/>
  <c r="U21" i="9"/>
  <c r="AA6" i="9"/>
  <c r="AA7" i="9"/>
  <c r="Z8" i="9"/>
  <c r="AA8" i="9"/>
  <c r="AA9" i="9"/>
  <c r="AA5" i="9"/>
  <c r="Z6" i="8"/>
  <c r="Z6" i="9" s="1"/>
  <c r="Z5" i="8"/>
  <c r="Z5" i="9" s="1"/>
  <c r="AA6" i="8"/>
  <c r="AA7" i="8"/>
  <c r="AA8" i="8"/>
  <c r="AA5" i="8"/>
  <c r="U21" i="11"/>
  <c r="U23" i="11" s="1"/>
  <c r="U7" i="10"/>
  <c r="Z6" i="10"/>
  <c r="AA6" i="10"/>
  <c r="Z7" i="10"/>
  <c r="AA7" i="10"/>
  <c r="Z8" i="10"/>
  <c r="AA8" i="10"/>
  <c r="Z9" i="10"/>
  <c r="AA9" i="10"/>
  <c r="AA5" i="10"/>
  <c r="Z5" i="10"/>
  <c r="AA10" i="11"/>
  <c r="AA8" i="11"/>
  <c r="AA7" i="11"/>
  <c r="AA6" i="11"/>
  <c r="X9" i="11"/>
  <c r="X11" i="11" s="1"/>
  <c r="X16" i="11" s="1"/>
  <c r="M35" i="11"/>
  <c r="G29" i="11"/>
  <c r="K29" i="11" s="1"/>
  <c r="P23" i="11"/>
  <c r="P25" i="11" s="1"/>
  <c r="P27" i="11" s="1"/>
  <c r="C20" i="11"/>
  <c r="G20" i="11" s="1"/>
  <c r="C16" i="11"/>
  <c r="G16" i="11" s="1"/>
  <c r="K16" i="11" s="1"/>
  <c r="T14" i="11"/>
  <c r="S14" i="11"/>
  <c r="R14" i="11"/>
  <c r="Q14" i="11"/>
  <c r="O14" i="11"/>
  <c r="G8" i="11"/>
  <c r="K8" i="11" s="1"/>
  <c r="K10" i="11" s="1"/>
  <c r="R6" i="11"/>
  <c r="R13" i="11" s="1"/>
  <c r="Q6" i="11"/>
  <c r="Q13" i="11" s="1"/>
  <c r="R5" i="11"/>
  <c r="S5" i="11" s="1"/>
  <c r="Q6" i="10"/>
  <c r="R6" i="10" s="1"/>
  <c r="M35" i="10"/>
  <c r="G29" i="10"/>
  <c r="U23" i="10"/>
  <c r="P23" i="10"/>
  <c r="P25" i="10" s="1"/>
  <c r="P27" i="10" s="1"/>
  <c r="I23" i="10"/>
  <c r="C23" i="10"/>
  <c r="G23" i="10" s="1"/>
  <c r="C20" i="10"/>
  <c r="G20" i="10" s="1"/>
  <c r="C16" i="10"/>
  <c r="G16" i="10" s="1"/>
  <c r="K16" i="10" s="1"/>
  <c r="T14" i="10"/>
  <c r="S14" i="10"/>
  <c r="R14" i="10"/>
  <c r="Q14" i="10"/>
  <c r="O14" i="10"/>
  <c r="X9" i="10"/>
  <c r="X10" i="10" s="1"/>
  <c r="K8" i="10"/>
  <c r="K10" i="10" s="1"/>
  <c r="G8" i="10"/>
  <c r="R5" i="10"/>
  <c r="S5" i="10" s="1"/>
  <c r="U23" i="9"/>
  <c r="X9" i="9"/>
  <c r="X10" i="9" s="1"/>
  <c r="M35" i="9"/>
  <c r="P25" i="9"/>
  <c r="P27" i="9" s="1"/>
  <c r="P23" i="9"/>
  <c r="C20" i="9"/>
  <c r="G20" i="9" s="1"/>
  <c r="C16" i="9"/>
  <c r="G16" i="9" s="1"/>
  <c r="K16" i="9" s="1"/>
  <c r="R13" i="9"/>
  <c r="Q13" i="9"/>
  <c r="G8" i="9"/>
  <c r="K8" i="9" s="1"/>
  <c r="K10" i="9" s="1"/>
  <c r="R6" i="9"/>
  <c r="S6" i="9" s="1"/>
  <c r="Q6" i="9"/>
  <c r="Q9" i="9" s="1"/>
  <c r="R5" i="9"/>
  <c r="R9" i="9" s="1"/>
  <c r="X16" i="8"/>
  <c r="X10" i="8"/>
  <c r="X11" i="8"/>
  <c r="X9" i="8"/>
  <c r="P23" i="8"/>
  <c r="P25" i="8" s="1"/>
  <c r="P27" i="8" s="1"/>
  <c r="R13" i="8"/>
  <c r="S13" i="8"/>
  <c r="T13" i="8"/>
  <c r="U13" i="8"/>
  <c r="R14" i="8"/>
  <c r="S14" i="8"/>
  <c r="T14" i="8"/>
  <c r="U14" i="8"/>
  <c r="Q14" i="8"/>
  <c r="Q13" i="8"/>
  <c r="O14" i="8"/>
  <c r="K35" i="10" l="1"/>
  <c r="K29" i="10"/>
  <c r="Z7" i="8"/>
  <c r="Z7" i="9" s="1"/>
  <c r="Z9" i="8"/>
  <c r="Z9" i="9" s="1"/>
  <c r="X10" i="11"/>
  <c r="T5" i="11"/>
  <c r="S6" i="11"/>
  <c r="Q9" i="11"/>
  <c r="R9" i="11"/>
  <c r="K20" i="11"/>
  <c r="K35" i="11" s="1"/>
  <c r="K39" i="11" s="1"/>
  <c r="T5" i="10"/>
  <c r="R13" i="10"/>
  <c r="R9" i="10"/>
  <c r="S6" i="10"/>
  <c r="K23" i="10"/>
  <c r="Q9" i="10"/>
  <c r="X11" i="10"/>
  <c r="X16" i="10" s="1"/>
  <c r="Q13" i="10"/>
  <c r="K20" i="10"/>
  <c r="X11" i="9"/>
  <c r="X16" i="9" s="1"/>
  <c r="R10" i="9"/>
  <c r="R11" i="9"/>
  <c r="R16" i="9" s="1"/>
  <c r="R25" i="9" s="1"/>
  <c r="R27" i="9" s="1"/>
  <c r="Q10" i="9"/>
  <c r="Q11" i="9" s="1"/>
  <c r="Q16" i="9" s="1"/>
  <c r="Q25" i="9" s="1"/>
  <c r="Q27" i="9" s="1"/>
  <c r="T6" i="9"/>
  <c r="S13" i="9"/>
  <c r="S5" i="9"/>
  <c r="K20" i="9"/>
  <c r="K35" i="9" s="1"/>
  <c r="K39" i="9" s="1"/>
  <c r="Q9" i="8"/>
  <c r="G8" i="8"/>
  <c r="K8" i="8" s="1"/>
  <c r="U23" i="8"/>
  <c r="C23" i="8"/>
  <c r="G23" i="8" s="1"/>
  <c r="C20" i="8"/>
  <c r="G20" i="8" s="1"/>
  <c r="M35" i="8"/>
  <c r="G29" i="8"/>
  <c r="C16" i="8"/>
  <c r="G16" i="8" s="1"/>
  <c r="K16" i="8" s="1"/>
  <c r="R10" i="11" l="1"/>
  <c r="R11" i="11" s="1"/>
  <c r="R16" i="11" s="1"/>
  <c r="R25" i="11" s="1"/>
  <c r="R27" i="11" s="1"/>
  <c r="T6" i="11"/>
  <c r="S13" i="11"/>
  <c r="Q10" i="11"/>
  <c r="Q11" i="11"/>
  <c r="Q16" i="11" s="1"/>
  <c r="Q25" i="11" s="1"/>
  <c r="Q27" i="11" s="1"/>
  <c r="S9" i="11"/>
  <c r="T9" i="11"/>
  <c r="U5" i="11"/>
  <c r="R10" i="10"/>
  <c r="R11" i="10" s="1"/>
  <c r="R16" i="10" s="1"/>
  <c r="R25" i="10" s="1"/>
  <c r="R27" i="10" s="1"/>
  <c r="S13" i="10"/>
  <c r="T6" i="10"/>
  <c r="S9" i="10"/>
  <c r="T9" i="10"/>
  <c r="U5" i="10"/>
  <c r="Q10" i="10"/>
  <c r="Q11" i="10" s="1"/>
  <c r="Q16" i="10" s="1"/>
  <c r="Q25" i="10" s="1"/>
  <c r="Q27" i="10" s="1"/>
  <c r="T13" i="9"/>
  <c r="U6" i="9"/>
  <c r="T5" i="9"/>
  <c r="S9" i="9"/>
  <c r="K29" i="8"/>
  <c r="I23" i="8"/>
  <c r="K23" i="8" s="1"/>
  <c r="S10" i="11" l="1"/>
  <c r="S11" i="11" s="1"/>
  <c r="S16" i="11" s="1"/>
  <c r="S25" i="11" s="1"/>
  <c r="S27" i="11" s="1"/>
  <c r="T10" i="11"/>
  <c r="T11" i="11"/>
  <c r="U6" i="11"/>
  <c r="T13" i="11"/>
  <c r="S10" i="10"/>
  <c r="S11" i="10" s="1"/>
  <c r="S16" i="10" s="1"/>
  <c r="S25" i="10" s="1"/>
  <c r="S27" i="10" s="1"/>
  <c r="T10" i="10"/>
  <c r="T11" i="10" s="1"/>
  <c r="T13" i="10"/>
  <c r="U6" i="10"/>
  <c r="S10" i="9"/>
  <c r="S11" i="9" s="1"/>
  <c r="S16" i="9" s="1"/>
  <c r="S25" i="9" s="1"/>
  <c r="S27" i="9" s="1"/>
  <c r="U5" i="9"/>
  <c r="U9" i="9" s="1"/>
  <c r="T9" i="9"/>
  <c r="U13" i="9"/>
  <c r="R9" i="8"/>
  <c r="R10" i="8" s="1"/>
  <c r="R11" i="8" s="1"/>
  <c r="Q10" i="8"/>
  <c r="Q11" i="8" s="1"/>
  <c r="S9" i="8"/>
  <c r="Q16" i="8" l="1"/>
  <c r="Q25" i="8" s="1"/>
  <c r="Q27" i="8" s="1"/>
  <c r="R16" i="8"/>
  <c r="R25" i="8" s="1"/>
  <c r="R27" i="8" s="1"/>
  <c r="T16" i="11"/>
  <c r="T25" i="11" s="1"/>
  <c r="T27" i="11" s="1"/>
  <c r="U13" i="11"/>
  <c r="T16" i="10"/>
  <c r="T25" i="10" s="1"/>
  <c r="T27" i="10" s="1"/>
  <c r="U13" i="10"/>
  <c r="U14" i="10"/>
  <c r="U9" i="10"/>
  <c r="T10" i="9"/>
  <c r="T11" i="9" s="1"/>
  <c r="T16" i="9" s="1"/>
  <c r="T25" i="9" s="1"/>
  <c r="T27" i="9" s="1"/>
  <c r="U10" i="9"/>
  <c r="U11" i="9" s="1"/>
  <c r="U16" i="9" s="1"/>
  <c r="U25" i="9" s="1"/>
  <c r="U27" i="9" s="1"/>
  <c r="T9" i="8"/>
  <c r="U9" i="8"/>
  <c r="S10" i="8"/>
  <c r="S11" i="8" s="1"/>
  <c r="S16" i="8" l="1"/>
  <c r="S25" i="8" s="1"/>
  <c r="S27" i="8" s="1"/>
  <c r="U14" i="11"/>
  <c r="U9" i="11"/>
  <c r="U10" i="10"/>
  <c r="U11" i="10" s="1"/>
  <c r="U16" i="10" s="1"/>
  <c r="U25" i="10" s="1"/>
  <c r="U27" i="10" s="1"/>
  <c r="T10" i="8"/>
  <c r="T11" i="8" l="1"/>
  <c r="T16" i="8" s="1"/>
  <c r="T25" i="8" s="1"/>
  <c r="T27" i="8" s="1"/>
  <c r="U10" i="11"/>
  <c r="U11" i="11" s="1"/>
  <c r="U16" i="11" s="1"/>
  <c r="U25" i="11" s="1"/>
  <c r="U27" i="11" s="1"/>
  <c r="U10" i="8"/>
  <c r="U11" i="8" l="1"/>
  <c r="U16" i="8" s="1"/>
  <c r="U25" i="8" s="1"/>
  <c r="U27" i="8" s="1"/>
  <c r="K10" i="8"/>
  <c r="K35" i="8" s="1"/>
  <c r="P28" i="8" l="1"/>
</calcChain>
</file>

<file path=xl/sharedStrings.xml><?xml version="1.0" encoding="utf-8"?>
<sst xmlns="http://schemas.openxmlformats.org/spreadsheetml/2006/main" count="218" uniqueCount="59">
  <si>
    <t>( 1- 15% )</t>
  </si>
  <si>
    <t>Años</t>
  </si>
  <si>
    <t>Flujo de Caja</t>
  </si>
  <si>
    <t>Monto de</t>
  </si>
  <si>
    <t xml:space="preserve">Factor de </t>
  </si>
  <si>
    <t>Descuento</t>
  </si>
  <si>
    <t>Valor Actual</t>
  </si>
  <si>
    <t>Ahorro de Impuestos por Depreciación</t>
  </si>
  <si>
    <t>Ingreso Neto de Caja</t>
  </si>
  <si>
    <t>Valor Actual de Costos</t>
  </si>
  <si>
    <t>* 15%</t>
  </si>
  <si>
    <t>Dep Ac</t>
  </si>
  <si>
    <t>al 8%</t>
  </si>
  <si>
    <t>del año 1 al 2</t>
  </si>
  <si>
    <t xml:space="preserve">3.- Deducciones por Depreciación Red </t>
  </si>
  <si>
    <t xml:space="preserve">4.- Valor de Rescate Red Actual </t>
  </si>
  <si>
    <t>Total Costo Operación Variable despues de Impuestos</t>
  </si>
  <si>
    <t>puntos</t>
  </si>
  <si>
    <t>Pérdida por Venta Máquina</t>
  </si>
  <si>
    <t>Flujos de Operación</t>
  </si>
  <si>
    <t>Flujos de Inversión</t>
  </si>
  <si>
    <t>Flujo Total</t>
  </si>
  <si>
    <t>Año 0</t>
  </si>
  <si>
    <t>Año 1</t>
  </si>
  <si>
    <t>Año 2</t>
  </si>
  <si>
    <t>Año 3</t>
  </si>
  <si>
    <t>Año 4</t>
  </si>
  <si>
    <t>Año 5</t>
  </si>
  <si>
    <t>UAI</t>
  </si>
  <si>
    <t>Impuestos</t>
  </si>
  <si>
    <t>Ut Neta</t>
  </si>
  <si>
    <t>Flujo Operativo</t>
  </si>
  <si>
    <t>Flujo Inversión</t>
  </si>
  <si>
    <t>VP</t>
  </si>
  <si>
    <t>punto</t>
  </si>
  <si>
    <t xml:space="preserve">Inversión Bus </t>
  </si>
  <si>
    <t xml:space="preserve">Venta Bus </t>
  </si>
  <si>
    <t xml:space="preserve">Costos de Mantención </t>
  </si>
  <si>
    <t xml:space="preserve">Depreciación </t>
  </si>
  <si>
    <t>Depreciación</t>
  </si>
  <si>
    <t>Utilidad por Venta Bus</t>
  </si>
  <si>
    <t xml:space="preserve">2 puntos </t>
  </si>
  <si>
    <t>Inversión</t>
  </si>
  <si>
    <t>Valor libro</t>
  </si>
  <si>
    <t xml:space="preserve">Valor Venta </t>
  </si>
  <si>
    <t xml:space="preserve">PP por Venta </t>
  </si>
  <si>
    <t xml:space="preserve">Ut por Venta </t>
  </si>
  <si>
    <t xml:space="preserve">Total = 15 puntos </t>
  </si>
  <si>
    <t>3.- Deducciones por Depreciación</t>
  </si>
  <si>
    <t>del año 1 al 5</t>
  </si>
  <si>
    <t>al año 5</t>
  </si>
  <si>
    <t>Utilidad por Venta Máquina</t>
  </si>
  <si>
    <t xml:space="preserve">5.- Inversión </t>
  </si>
  <si>
    <t>Inicio</t>
  </si>
  <si>
    <t>100 * 85%</t>
  </si>
  <si>
    <t>100* 85%</t>
  </si>
  <si>
    <t xml:space="preserve">Inversión </t>
  </si>
  <si>
    <t xml:space="preserve">Inicio </t>
  </si>
  <si>
    <t>70 * 85%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</si>
</sst>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 &quot;$&quot;* #,##0_ ;_ &quot;$&quot;* \-#,##0_ ;_ &quot;$&quot;* &quot;-&quot;_ ;_ @_ "/>
    <numFmt numFmtId="164" formatCode="_-&quot;$&quot;\ * #,##0.00_-;\-&quot;$&quot;\ * #,##0.00_-;_-&quot;$&quot;\ * &quot;-&quot;??_-;_-@_-"/>
    <numFmt numFmtId="165" formatCode="0.000"/>
    <numFmt numFmtId="166" formatCode="&quot;$&quot;\ #,##0"/>
    <numFmt numFmtId="167" formatCode="0.0000"/>
    <numFmt numFmtId="168" formatCode="_-[$$-340A]\ * #,##0_-;\-[$$-340A]\ * #,##0_-;_-[$$-340A]\ * &quot;-&quot;??_-;_-@_-"/>
    <numFmt numFmtId="169" formatCode="&quot;$&quot;\ #,##0.00"/>
    <numFmt numFmtId="170" formatCode="_-[$$-340A]\ * #,##0.000000_-;\-[$$-340A]\ * #,##0.000000_-;_-[$$-340A]\ * &quot;-&quot;??_-;_-@_-"/>
    <numFmt numFmtId="171" formatCode="&quot;$&quot;#,##0.00"/>
    <numFmt numFmtId="172" formatCode="_ &quot;$&quot;* #,##0.00_ ;_ &quot;$&quot;* \-#,##0.00_ ;_ &quot;$&quot;* &quot;-&quot;_ ;_ @_ "/>
    <numFmt numFmtId="173" formatCode="0.00000"/>
    <numFmt numFmtId="176" formatCode="&quot;$&quot;\ #,##0.0000"/>
    <numFmt numFmtId="178" formatCode="_-[$$-340A]\ * #,##0.00_-;\-[$$-340A]\ * #,##0.00_-;_-[$$-340A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64">
    <xf numFmtId="0" fontId="0" fillId="0" borderId="0" xfId="0"/>
    <xf numFmtId="0" fontId="0" fillId="2" borderId="0" xfId="0" applyFill="1"/>
    <xf numFmtId="166" fontId="0" fillId="2" borderId="0" xfId="0" applyNumberFormat="1" applyFill="1"/>
    <xf numFmtId="0" fontId="0" fillId="2" borderId="1" xfId="0" applyFill="1" applyBorder="1"/>
    <xf numFmtId="166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166" fontId="0" fillId="2" borderId="3" xfId="0" applyNumberFormat="1" applyFill="1" applyBorder="1" applyAlignment="1">
      <alignment horizontal="center"/>
    </xf>
    <xf numFmtId="166" fontId="0" fillId="2" borderId="4" xfId="0" applyNumberFormat="1" applyFill="1" applyBorder="1" applyAlignment="1">
      <alignment horizontal="center"/>
    </xf>
    <xf numFmtId="0" fontId="0" fillId="2" borderId="5" xfId="0" applyFill="1" applyBorder="1"/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center"/>
    </xf>
    <xf numFmtId="166" fontId="0" fillId="2" borderId="6" xfId="0" applyNumberFormat="1" applyFill="1" applyBorder="1" applyAlignment="1">
      <alignment horizontal="center"/>
    </xf>
    <xf numFmtId="166" fontId="0" fillId="2" borderId="6" xfId="0" applyNumberFormat="1" applyFill="1" applyBorder="1"/>
    <xf numFmtId="0" fontId="0" fillId="2" borderId="7" xfId="0" applyFill="1" applyBorder="1"/>
    <xf numFmtId="9" fontId="0" fillId="2" borderId="5" xfId="0" applyNumberFormat="1" applyFill="1" applyBorder="1" applyAlignment="1">
      <alignment horizontal="left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0" xfId="0" applyFill="1" applyBorder="1"/>
    <xf numFmtId="0" fontId="0" fillId="2" borderId="11" xfId="0" applyFill="1" applyBorder="1"/>
    <xf numFmtId="9" fontId="0" fillId="2" borderId="10" xfId="0" applyNumberForma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65" fontId="0" fillId="2" borderId="11" xfId="0" applyNumberFormat="1" applyFill="1" applyBorder="1" applyAlignment="1">
      <alignment horizontal="center"/>
    </xf>
    <xf numFmtId="165" fontId="0" fillId="2" borderId="10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7" fontId="0" fillId="2" borderId="11" xfId="0" applyNumberFormat="1" applyFill="1" applyBorder="1" applyAlignment="1">
      <alignment horizontal="center"/>
    </xf>
    <xf numFmtId="168" fontId="0" fillId="2" borderId="0" xfId="0" applyNumberFormat="1" applyFill="1"/>
    <xf numFmtId="169" fontId="0" fillId="2" borderId="8" xfId="0" applyNumberFormat="1" applyFill="1" applyBorder="1"/>
    <xf numFmtId="169" fontId="0" fillId="2" borderId="6" xfId="0" applyNumberFormat="1" applyFill="1" applyBorder="1"/>
    <xf numFmtId="170" fontId="0" fillId="2" borderId="0" xfId="0" applyNumberFormat="1" applyFill="1"/>
    <xf numFmtId="167" fontId="0" fillId="2" borderId="10" xfId="0" applyNumberFormat="1" applyFill="1" applyBorder="1" applyAlignment="1">
      <alignment horizontal="center"/>
    </xf>
    <xf numFmtId="169" fontId="0" fillId="2" borderId="0" xfId="0" applyNumberFormat="1" applyFill="1" applyAlignment="1">
      <alignment horizontal="center"/>
    </xf>
    <xf numFmtId="169" fontId="0" fillId="2" borderId="0" xfId="0" applyNumberFormat="1" applyFill="1"/>
    <xf numFmtId="0" fontId="2" fillId="2" borderId="0" xfId="0" applyFont="1" applyFill="1"/>
    <xf numFmtId="0" fontId="2" fillId="2" borderId="5" xfId="0" applyFont="1" applyFill="1" applyBorder="1"/>
    <xf numFmtId="0" fontId="2" fillId="2" borderId="10" xfId="0" applyFont="1" applyFill="1" applyBorder="1" applyAlignment="1">
      <alignment horizontal="center"/>
    </xf>
    <xf numFmtId="166" fontId="2" fillId="2" borderId="0" xfId="0" applyNumberFormat="1" applyFont="1" applyFill="1"/>
    <xf numFmtId="169" fontId="2" fillId="2" borderId="6" xfId="0" applyNumberFormat="1" applyFont="1" applyFill="1" applyBorder="1"/>
    <xf numFmtId="168" fontId="2" fillId="2" borderId="0" xfId="0" applyNumberFormat="1" applyFont="1" applyFill="1" applyAlignment="1">
      <alignment horizontal="center"/>
    </xf>
    <xf numFmtId="164" fontId="0" fillId="2" borderId="0" xfId="1" applyFont="1" applyFill="1" applyBorder="1"/>
    <xf numFmtId="166" fontId="0" fillId="2" borderId="0" xfId="1" applyNumberFormat="1" applyFont="1" applyFill="1" applyBorder="1"/>
    <xf numFmtId="164" fontId="0" fillId="2" borderId="1" xfId="0" applyNumberFormat="1" applyFill="1" applyBorder="1"/>
    <xf numFmtId="0" fontId="0" fillId="2" borderId="12" xfId="0" applyFill="1" applyBorder="1"/>
    <xf numFmtId="164" fontId="0" fillId="2" borderId="12" xfId="1" applyFont="1" applyFill="1" applyBorder="1"/>
    <xf numFmtId="164" fontId="0" fillId="2" borderId="0" xfId="0" applyNumberFormat="1" applyFill="1"/>
    <xf numFmtId="169" fontId="0" fillId="2" borderId="0" xfId="1" applyNumberFormat="1" applyFont="1" applyFill="1" applyBorder="1"/>
    <xf numFmtId="171" fontId="0" fillId="2" borderId="0" xfId="0" applyNumberFormat="1" applyFill="1"/>
    <xf numFmtId="42" fontId="0" fillId="2" borderId="0" xfId="2" applyFont="1" applyFill="1" applyBorder="1"/>
    <xf numFmtId="172" fontId="0" fillId="2" borderId="0" xfId="2" applyNumberFormat="1" applyFont="1" applyFill="1" applyBorder="1"/>
    <xf numFmtId="4" fontId="0" fillId="2" borderId="0" xfId="0" applyNumberFormat="1" applyFill="1"/>
    <xf numFmtId="0" fontId="0" fillId="2" borderId="0" xfId="0" applyFill="1" applyAlignment="1">
      <alignment horizontal="center"/>
    </xf>
    <xf numFmtId="173" fontId="0" fillId="2" borderId="10" xfId="0" applyNumberFormat="1" applyFill="1" applyBorder="1" applyAlignment="1">
      <alignment horizontal="center"/>
    </xf>
    <xf numFmtId="176" fontId="0" fillId="2" borderId="0" xfId="0" applyNumberFormat="1" applyFill="1"/>
    <xf numFmtId="0" fontId="3" fillId="2" borderId="5" xfId="0" applyFont="1" applyFill="1" applyBorder="1"/>
    <xf numFmtId="168" fontId="3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0" xfId="0" applyFont="1" applyFill="1" applyBorder="1" applyAlignment="1">
      <alignment horizontal="center"/>
    </xf>
    <xf numFmtId="166" fontId="3" fillId="2" borderId="0" xfId="0" applyNumberFormat="1" applyFont="1" applyFill="1"/>
    <xf numFmtId="169" fontId="3" fillId="2" borderId="6" xfId="0" applyNumberFormat="1" applyFont="1" applyFill="1" applyBorder="1"/>
    <xf numFmtId="42" fontId="0" fillId="2" borderId="0" xfId="2" applyFont="1" applyFill="1" applyAlignment="1">
      <alignment horizontal="center"/>
    </xf>
    <xf numFmtId="178" fontId="3" fillId="2" borderId="0" xfId="0" applyNumberFormat="1" applyFont="1" applyFill="1" applyAlignment="1">
      <alignment horizontal="center"/>
    </xf>
    <xf numFmtId="169" fontId="0" fillId="2" borderId="1" xfId="0" applyNumberFormat="1" applyFill="1" applyBorder="1" applyAlignment="1">
      <alignment horizontal="center"/>
    </xf>
  </cellXfs>
  <cellStyles count="3">
    <cellStyle name="Moneda" xfId="1" builtinId="4"/>
    <cellStyle name="Moneda [0]" xfId="2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39"/>
  <sheetViews>
    <sheetView tabSelected="1" zoomScale="80" zoomScaleNormal="80" workbookViewId="0">
      <selection activeCell="B1" sqref="B1:K1"/>
    </sheetView>
  </sheetViews>
  <sheetFormatPr baseColWidth="10" defaultColWidth="11.42578125" defaultRowHeight="15" x14ac:dyDescent="0.25"/>
  <cols>
    <col min="1" max="1" width="1.42578125" style="1" customWidth="1"/>
    <col min="2" max="2" width="49.5703125" style="1" customWidth="1"/>
    <col min="3" max="3" width="11.5703125" style="11" customWidth="1"/>
    <col min="4" max="4" width="3.42578125" style="1" customWidth="1"/>
    <col min="5" max="5" width="20" style="1" bestFit="1" customWidth="1"/>
    <col min="6" max="6" width="3" style="1" customWidth="1"/>
    <col min="7" max="7" width="12.5703125" style="2" customWidth="1"/>
    <col min="8" max="8" width="2.85546875" style="1" customWidth="1"/>
    <col min="9" max="9" width="13" style="1" bestFit="1" customWidth="1"/>
    <col min="10" max="10" width="3.28515625" style="1" customWidth="1"/>
    <col min="11" max="11" width="13.7109375" style="2" bestFit="1" customWidth="1"/>
    <col min="12" max="12" width="2.5703125" style="1" customWidth="1"/>
    <col min="13" max="13" width="3.85546875" style="1" customWidth="1"/>
    <col min="14" max="14" width="4.140625" style="28" customWidth="1"/>
    <col min="15" max="15" width="51.140625" style="1" bestFit="1" customWidth="1"/>
    <col min="16" max="21" width="11.42578125" style="1"/>
    <col min="22" max="22" width="2" style="1" customWidth="1"/>
    <col min="23" max="23" width="3.42578125" style="1" bestFit="1" customWidth="1"/>
    <col min="24" max="26" width="11.42578125" style="1"/>
    <col min="27" max="27" width="12.42578125" style="1" bestFit="1" customWidth="1"/>
    <col min="28" max="16384" width="11.42578125" style="1"/>
  </cols>
  <sheetData>
    <row r="1" spans="1:137" x14ac:dyDescent="0.25">
      <c r="B1" s="52"/>
      <c r="C1" s="52"/>
      <c r="D1" s="52"/>
      <c r="E1" s="52"/>
      <c r="F1" s="52"/>
      <c r="G1" s="52"/>
      <c r="H1" s="52"/>
      <c r="I1" s="52"/>
      <c r="J1" s="52"/>
      <c r="K1" s="52"/>
      <c r="M1" s="35"/>
    </row>
    <row r="2" spans="1:137" ht="15.75" thickBot="1" x14ac:dyDescent="0.3">
      <c r="B2" s="52"/>
      <c r="C2" s="52"/>
      <c r="D2" s="52"/>
      <c r="E2" s="52"/>
      <c r="F2" s="52"/>
      <c r="G2" s="52"/>
      <c r="H2" s="52"/>
      <c r="I2" s="52"/>
      <c r="J2" s="52"/>
      <c r="K2" s="52"/>
      <c r="P2" s="11" t="s">
        <v>22</v>
      </c>
      <c r="Q2" s="11" t="s">
        <v>23</v>
      </c>
      <c r="R2" s="11" t="s">
        <v>24</v>
      </c>
      <c r="S2" s="11" t="s">
        <v>25</v>
      </c>
      <c r="T2" s="11" t="s">
        <v>26</v>
      </c>
      <c r="U2" s="11" t="s">
        <v>27</v>
      </c>
    </row>
    <row r="3" spans="1:137" x14ac:dyDescent="0.25">
      <c r="B3" s="5"/>
      <c r="C3" s="7"/>
      <c r="D3" s="6"/>
      <c r="E3" s="17" t="s">
        <v>1</v>
      </c>
      <c r="F3" s="7"/>
      <c r="G3" s="8" t="s">
        <v>3</v>
      </c>
      <c r="H3" s="7"/>
      <c r="I3" s="17" t="s">
        <v>4</v>
      </c>
      <c r="J3" s="7"/>
      <c r="K3" s="9" t="s">
        <v>6</v>
      </c>
      <c r="O3" s="1" t="s">
        <v>19</v>
      </c>
      <c r="P3" s="41"/>
      <c r="Q3" s="41"/>
      <c r="R3" s="41"/>
      <c r="S3" s="41"/>
      <c r="T3" s="41"/>
      <c r="U3" s="41"/>
    </row>
    <row r="4" spans="1:137" x14ac:dyDescent="0.25">
      <c r="B4" s="10"/>
      <c r="C4" s="12"/>
      <c r="E4" s="18" t="s">
        <v>2</v>
      </c>
      <c r="F4" s="11"/>
      <c r="G4" s="12" t="s">
        <v>2</v>
      </c>
      <c r="H4" s="11"/>
      <c r="I4" s="18" t="s">
        <v>5</v>
      </c>
      <c r="J4" s="11"/>
      <c r="K4" s="13" t="s">
        <v>2</v>
      </c>
      <c r="P4" s="41"/>
      <c r="Q4" s="41"/>
      <c r="R4" s="41"/>
      <c r="S4" s="41"/>
      <c r="T4" s="41"/>
      <c r="U4" s="41"/>
    </row>
    <row r="5" spans="1:137" x14ac:dyDescent="0.25">
      <c r="B5" s="10"/>
      <c r="E5" s="19"/>
      <c r="H5" s="11"/>
      <c r="I5" s="21" t="s">
        <v>12</v>
      </c>
      <c r="J5" s="11"/>
      <c r="K5" s="13"/>
      <c r="O5" s="1" t="s">
        <v>37</v>
      </c>
      <c r="P5" s="41"/>
      <c r="Q5" s="41">
        <v>-100</v>
      </c>
      <c r="R5" s="41">
        <f>+Q5</f>
        <v>-100</v>
      </c>
      <c r="S5" s="41">
        <f>+R5</f>
        <v>-100</v>
      </c>
      <c r="T5" s="41">
        <f t="shared" ref="T5:U5" si="0">+S5</f>
        <v>-100</v>
      </c>
      <c r="U5" s="41">
        <f t="shared" si="0"/>
        <v>-100</v>
      </c>
      <c r="W5" s="1">
        <v>1</v>
      </c>
      <c r="X5" s="1" t="s">
        <v>17</v>
      </c>
      <c r="Z5" s="51">
        <f>-P20</f>
        <v>2000</v>
      </c>
      <c r="AA5" s="1" t="str">
        <f>+'Opción Corea (2)'!AB6</f>
        <v>Inversión</v>
      </c>
    </row>
    <row r="6" spans="1:137" x14ac:dyDescent="0.25">
      <c r="B6" s="10" t="s">
        <v>0</v>
      </c>
      <c r="C6" s="11" t="s">
        <v>54</v>
      </c>
      <c r="E6" s="19"/>
      <c r="I6" s="19"/>
      <c r="K6" s="14"/>
      <c r="O6" s="1" t="s">
        <v>38</v>
      </c>
      <c r="P6" s="41"/>
      <c r="Q6" s="47">
        <f>(P20*0.9)/10</f>
        <v>-180</v>
      </c>
      <c r="R6" s="47">
        <f>+Q6</f>
        <v>-180</v>
      </c>
      <c r="S6" s="41">
        <f>+R6</f>
        <v>-180</v>
      </c>
      <c r="T6" s="41">
        <f>+S6</f>
        <v>-180</v>
      </c>
      <c r="U6" s="41">
        <f>+T6</f>
        <v>-180</v>
      </c>
      <c r="W6" s="1">
        <v>1</v>
      </c>
      <c r="X6" s="1" t="s">
        <v>17</v>
      </c>
      <c r="Z6" s="51">
        <f>SUM(Q6:U6)</f>
        <v>-900</v>
      </c>
      <c r="AA6" s="1" t="str">
        <f>+'Opción Corea (2)'!AB7</f>
        <v>Dep Ac</v>
      </c>
    </row>
    <row r="7" spans="1:137" x14ac:dyDescent="0.25">
      <c r="B7" s="10"/>
      <c r="E7" s="18"/>
      <c r="I7" s="25"/>
      <c r="K7" s="30"/>
      <c r="O7" s="1" t="s">
        <v>40</v>
      </c>
      <c r="P7" s="41"/>
      <c r="Q7" s="41"/>
      <c r="R7" s="41"/>
      <c r="S7" s="41"/>
      <c r="T7" s="41"/>
      <c r="U7" s="41">
        <v>200</v>
      </c>
      <c r="W7" s="1">
        <v>1</v>
      </c>
      <c r="X7" s="1" t="s">
        <v>17</v>
      </c>
      <c r="Z7" s="51">
        <f>+Z5+Z6</f>
        <v>1100</v>
      </c>
      <c r="AA7" s="1" t="str">
        <f>+'Opción Corea (2)'!AB8</f>
        <v>Valor libro</v>
      </c>
    </row>
    <row r="8" spans="1:137" x14ac:dyDescent="0.25">
      <c r="B8" s="10"/>
      <c r="C8" s="33">
        <f>-100*0.85</f>
        <v>-85</v>
      </c>
      <c r="E8" s="18" t="s">
        <v>49</v>
      </c>
      <c r="G8" s="34">
        <f>+C8</f>
        <v>-85</v>
      </c>
      <c r="I8" s="53">
        <v>3.992710037078087</v>
      </c>
      <c r="K8" s="30">
        <f>+I8*G8</f>
        <v>-339.38035315163739</v>
      </c>
      <c r="P8" s="41"/>
      <c r="Q8" s="41"/>
      <c r="R8" s="41"/>
      <c r="S8" s="41"/>
      <c r="T8" s="41"/>
      <c r="U8" s="41"/>
      <c r="Z8" s="51">
        <v>1300</v>
      </c>
      <c r="AA8" s="1" t="str">
        <f>+'Opción Corea (2)'!AB9</f>
        <v xml:space="preserve">Valor Venta </v>
      </c>
    </row>
    <row r="9" spans="1:137" x14ac:dyDescent="0.25">
      <c r="B9" s="10"/>
      <c r="E9" s="18"/>
      <c r="I9" s="25"/>
      <c r="K9" s="30"/>
      <c r="O9" s="1" t="s">
        <v>28</v>
      </c>
      <c r="P9" s="41"/>
      <c r="Q9" s="41">
        <f>SUM(Q5:Q7)</f>
        <v>-280</v>
      </c>
      <c r="R9" s="41">
        <f>SUM(R5:R7)</f>
        <v>-280</v>
      </c>
      <c r="S9" s="41">
        <f>SUM(S5:S7)</f>
        <v>-280</v>
      </c>
      <c r="T9" s="41">
        <f>SUM(T5:T7)</f>
        <v>-280</v>
      </c>
      <c r="U9" s="41">
        <f>SUM(U5:U7)</f>
        <v>-80</v>
      </c>
      <c r="W9" s="1">
        <v>2</v>
      </c>
      <c r="X9" s="1" t="str">
        <f>+X7</f>
        <v>puntos</v>
      </c>
      <c r="Z9" s="51">
        <f>+Z8-Z7</f>
        <v>200</v>
      </c>
      <c r="AA9" s="1" t="s">
        <v>46</v>
      </c>
    </row>
    <row r="10" spans="1:137" ht="15.75" thickBot="1" x14ac:dyDescent="0.3">
      <c r="A10" s="3"/>
      <c r="B10" s="15" t="s">
        <v>16</v>
      </c>
      <c r="C10" s="26"/>
      <c r="D10" s="3"/>
      <c r="E10" s="23"/>
      <c r="F10" s="3"/>
      <c r="G10" s="4"/>
      <c r="H10" s="3"/>
      <c r="I10" s="24"/>
      <c r="J10" s="3"/>
      <c r="K10" s="29">
        <f>SUM(K8:K9)</f>
        <v>-339.38035315163739</v>
      </c>
      <c r="M10" s="1">
        <v>3</v>
      </c>
      <c r="O10" s="1" t="s">
        <v>29</v>
      </c>
      <c r="P10" s="41"/>
      <c r="Q10" s="41">
        <f>+Q9*0.15</f>
        <v>-42</v>
      </c>
      <c r="R10" s="41">
        <f t="shared" ref="R10:U10" si="1">+R9*0.15</f>
        <v>-42</v>
      </c>
      <c r="S10" s="41">
        <f t="shared" si="1"/>
        <v>-42</v>
      </c>
      <c r="T10" s="41">
        <f t="shared" si="1"/>
        <v>-42</v>
      </c>
      <c r="U10" s="41">
        <f t="shared" si="1"/>
        <v>-12</v>
      </c>
      <c r="W10" s="1">
        <v>2</v>
      </c>
      <c r="X10" s="1" t="str">
        <f>+X9</f>
        <v>puntos</v>
      </c>
    </row>
    <row r="11" spans="1:137" ht="15.75" thickTop="1" x14ac:dyDescent="0.25">
      <c r="B11" s="10"/>
      <c r="E11" s="18"/>
      <c r="I11" s="25"/>
      <c r="K11" s="30"/>
      <c r="O11" s="1" t="s">
        <v>30</v>
      </c>
      <c r="P11" s="41"/>
      <c r="Q11" s="41">
        <f>+Q9-Q10</f>
        <v>-238</v>
      </c>
      <c r="R11" s="41">
        <f t="shared" ref="R11:U11" si="2">+R9-R10</f>
        <v>-238</v>
      </c>
      <c r="S11" s="41">
        <f t="shared" si="2"/>
        <v>-238</v>
      </c>
      <c r="T11" s="41">
        <f>+T9-T10</f>
        <v>-238</v>
      </c>
      <c r="U11" s="41">
        <f t="shared" si="2"/>
        <v>-68</v>
      </c>
      <c r="W11" s="1">
        <v>2</v>
      </c>
      <c r="X11" s="1" t="str">
        <f t="shared" ref="X11" si="3">+X9</f>
        <v>puntos</v>
      </c>
    </row>
    <row r="12" spans="1:137" x14ac:dyDescent="0.25">
      <c r="B12" s="10"/>
      <c r="E12" s="18"/>
      <c r="I12" s="25"/>
      <c r="K12" s="30"/>
      <c r="P12" s="41"/>
      <c r="Q12" s="41"/>
      <c r="R12" s="41"/>
      <c r="S12" s="41"/>
      <c r="T12" s="41"/>
      <c r="U12" s="41"/>
    </row>
    <row r="13" spans="1:137" x14ac:dyDescent="0.25">
      <c r="B13" s="10"/>
      <c r="E13" s="18"/>
      <c r="I13" s="25"/>
      <c r="K13" s="30"/>
      <c r="O13" s="1" t="s">
        <v>39</v>
      </c>
      <c r="P13" s="41"/>
      <c r="Q13" s="41">
        <f>+Q6</f>
        <v>-180</v>
      </c>
      <c r="R13" s="41">
        <f t="shared" ref="R13:U13" si="4">+R6</f>
        <v>-180</v>
      </c>
      <c r="S13" s="41">
        <f t="shared" si="4"/>
        <v>-180</v>
      </c>
      <c r="T13" s="41">
        <f t="shared" si="4"/>
        <v>-180</v>
      </c>
      <c r="U13" s="41">
        <f t="shared" si="4"/>
        <v>-180</v>
      </c>
    </row>
    <row r="14" spans="1:137" x14ac:dyDescent="0.25">
      <c r="B14" s="10" t="s">
        <v>48</v>
      </c>
      <c r="C14" s="12">
        <v>180</v>
      </c>
      <c r="E14" s="18"/>
      <c r="I14" s="25"/>
      <c r="K14" s="30"/>
      <c r="O14" s="1" t="str">
        <f>+O7</f>
        <v>Utilidad por Venta Bus</v>
      </c>
      <c r="Q14" s="46">
        <f>+Q7</f>
        <v>0</v>
      </c>
      <c r="R14" s="46">
        <f t="shared" ref="R14:U14" si="5">+R7</f>
        <v>0</v>
      </c>
      <c r="S14" s="46">
        <f t="shared" si="5"/>
        <v>0</v>
      </c>
      <c r="T14" s="46">
        <f t="shared" si="5"/>
        <v>0</v>
      </c>
      <c r="U14" s="46">
        <f t="shared" si="5"/>
        <v>200</v>
      </c>
    </row>
    <row r="15" spans="1:137" x14ac:dyDescent="0.25">
      <c r="B15" s="16">
        <v>0.15</v>
      </c>
      <c r="C15" s="11" t="s">
        <v>10</v>
      </c>
      <c r="E15" s="18"/>
      <c r="I15" s="25"/>
      <c r="K15" s="30"/>
    </row>
    <row r="16" spans="1:137" s="3" customFormat="1" ht="15.75" thickBot="1" x14ac:dyDescent="0.3">
      <c r="B16" s="15" t="s">
        <v>7</v>
      </c>
      <c r="C16" s="22">
        <f>C14*0.15</f>
        <v>27</v>
      </c>
      <c r="E16" s="23" t="s">
        <v>49</v>
      </c>
      <c r="G16" s="4">
        <f>C16</f>
        <v>27</v>
      </c>
      <c r="I16" s="27">
        <f>+I8</f>
        <v>3.992710037078087</v>
      </c>
      <c r="K16" s="29">
        <f>G16*I16</f>
        <v>107.80317100110835</v>
      </c>
      <c r="L16" s="1"/>
      <c r="M16" s="1">
        <v>3</v>
      </c>
      <c r="N16" s="28"/>
      <c r="O16" s="3" t="s">
        <v>31</v>
      </c>
      <c r="Q16" s="43">
        <f>+Q11-Q13-Q14</f>
        <v>-58</v>
      </c>
      <c r="R16" s="43">
        <f t="shared" ref="R16:U16" si="6">+R11-R13-R14</f>
        <v>-58</v>
      </c>
      <c r="S16" s="43">
        <f t="shared" si="6"/>
        <v>-58</v>
      </c>
      <c r="T16" s="43">
        <f t="shared" si="6"/>
        <v>-58</v>
      </c>
      <c r="U16" s="43">
        <f t="shared" si="6"/>
        <v>-88</v>
      </c>
      <c r="W16" s="1">
        <v>4</v>
      </c>
      <c r="X16" s="1" t="str">
        <f>+X11</f>
        <v>puntos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</row>
    <row r="17" spans="1:137" ht="15.75" thickTop="1" x14ac:dyDescent="0.25">
      <c r="B17" s="10"/>
      <c r="C17" s="12"/>
      <c r="E17" s="18"/>
      <c r="I17" s="32"/>
      <c r="K17" s="30"/>
    </row>
    <row r="18" spans="1:137" x14ac:dyDescent="0.25">
      <c r="B18" s="10" t="s">
        <v>15</v>
      </c>
      <c r="C18" s="12">
        <v>1300</v>
      </c>
      <c r="E18" s="18"/>
      <c r="I18" s="18"/>
      <c r="K18" s="30"/>
      <c r="O18" s="1" t="s">
        <v>20</v>
      </c>
      <c r="P18" s="41"/>
      <c r="Q18" s="41"/>
      <c r="R18" s="41"/>
      <c r="S18" s="41"/>
      <c r="T18" s="41"/>
      <c r="U18" s="41"/>
    </row>
    <row r="19" spans="1:137" x14ac:dyDescent="0.25">
      <c r="B19" s="10" t="s">
        <v>0</v>
      </c>
      <c r="E19" s="18"/>
      <c r="I19" s="18"/>
      <c r="K19" s="30"/>
      <c r="P19" s="41"/>
      <c r="Q19" s="41"/>
      <c r="R19" s="41"/>
      <c r="S19" s="41"/>
      <c r="T19" s="41"/>
      <c r="U19" s="41"/>
    </row>
    <row r="20" spans="1:137" s="3" customFormat="1" ht="15.75" thickBot="1" x14ac:dyDescent="0.3">
      <c r="B20" s="15" t="s">
        <v>8</v>
      </c>
      <c r="C20" s="22">
        <f>+C18</f>
        <v>1300</v>
      </c>
      <c r="E20" s="23" t="s">
        <v>50</v>
      </c>
      <c r="G20" s="4">
        <f>C20</f>
        <v>1300</v>
      </c>
      <c r="I20" s="23">
        <f>1/(1.08^5)</f>
        <v>0.68058319703375303</v>
      </c>
      <c r="K20" s="29">
        <f>I20*G20</f>
        <v>884.75815614387898</v>
      </c>
      <c r="L20" s="1"/>
      <c r="M20" s="1">
        <v>3</v>
      </c>
      <c r="N20" s="28"/>
      <c r="O20" s="1" t="s">
        <v>35</v>
      </c>
      <c r="P20" s="41">
        <v>-2000</v>
      </c>
      <c r="Q20" s="41"/>
      <c r="R20" s="41"/>
      <c r="S20" s="41"/>
      <c r="T20" s="41"/>
      <c r="U20" s="41"/>
      <c r="V20" s="1"/>
      <c r="W20" s="1">
        <v>1</v>
      </c>
      <c r="X20" s="1" t="s">
        <v>17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</row>
    <row r="21" spans="1:137" ht="15.75" thickTop="1" x14ac:dyDescent="0.25">
      <c r="B21" s="10"/>
      <c r="E21" s="18"/>
      <c r="I21" s="18"/>
      <c r="K21" s="30"/>
      <c r="O21" s="1" t="s">
        <v>36</v>
      </c>
      <c r="P21" s="41"/>
      <c r="Q21" s="41"/>
      <c r="R21" s="41"/>
      <c r="S21" s="41"/>
      <c r="T21" s="41"/>
      <c r="U21" s="41">
        <v>1300</v>
      </c>
      <c r="W21" s="1">
        <v>1</v>
      </c>
      <c r="X21" s="1" t="s">
        <v>34</v>
      </c>
    </row>
    <row r="22" spans="1:137" x14ac:dyDescent="0.25">
      <c r="A22" s="35"/>
      <c r="B22" s="55" t="s">
        <v>51</v>
      </c>
      <c r="C22" s="56">
        <v>200</v>
      </c>
      <c r="D22" s="57"/>
      <c r="E22" s="58"/>
      <c r="F22" s="57"/>
      <c r="G22" s="59"/>
      <c r="H22" s="57"/>
      <c r="I22" s="58"/>
      <c r="J22" s="57"/>
      <c r="K22" s="60"/>
      <c r="P22" s="41"/>
      <c r="Q22" s="41"/>
      <c r="R22" s="41"/>
      <c r="S22" s="41"/>
      <c r="T22" s="41"/>
      <c r="U22" s="41"/>
    </row>
    <row r="23" spans="1:137" ht="15.75" thickBot="1" x14ac:dyDescent="0.3">
      <c r="A23" s="35"/>
      <c r="B23" s="55"/>
      <c r="C23" s="56">
        <f>-C22*0.15</f>
        <v>-30</v>
      </c>
      <c r="D23" s="57"/>
      <c r="E23" s="58" t="s">
        <v>50</v>
      </c>
      <c r="F23" s="57"/>
      <c r="G23" s="59">
        <f>+C23</f>
        <v>-30</v>
      </c>
      <c r="H23" s="57"/>
      <c r="I23" s="58">
        <f>+I20</f>
        <v>0.68058319703375303</v>
      </c>
      <c r="J23" s="57"/>
      <c r="K23" s="60">
        <f>I23*G23</f>
        <v>-20.41749591101259</v>
      </c>
      <c r="M23" s="1">
        <v>3</v>
      </c>
      <c r="O23" s="44" t="s">
        <v>32</v>
      </c>
      <c r="P23" s="45">
        <f>+P20</f>
        <v>-2000</v>
      </c>
      <c r="Q23" s="45"/>
      <c r="R23" s="45"/>
      <c r="S23" s="45"/>
      <c r="T23" s="45"/>
      <c r="U23" s="45">
        <f>+U20+U21</f>
        <v>1300</v>
      </c>
    </row>
    <row r="24" spans="1:137" ht="15.75" thickTop="1" x14ac:dyDescent="0.25">
      <c r="B24" s="10"/>
      <c r="E24" s="18"/>
      <c r="I24" s="18"/>
      <c r="K24" s="30"/>
      <c r="P24" s="41"/>
      <c r="Q24" s="41"/>
      <c r="R24" s="41"/>
      <c r="S24" s="41"/>
      <c r="T24" s="41"/>
      <c r="U24" s="41"/>
    </row>
    <row r="25" spans="1:137" ht="15.75" thickBot="1" x14ac:dyDescent="0.3">
      <c r="B25" s="10"/>
      <c r="E25" s="18"/>
      <c r="I25" s="18"/>
      <c r="K25" s="30"/>
      <c r="O25" s="44" t="s">
        <v>21</v>
      </c>
      <c r="P25" s="45">
        <f>+P16+P23</f>
        <v>-2000</v>
      </c>
      <c r="Q25" s="45">
        <f>+Q16+Q23</f>
        <v>-58</v>
      </c>
      <c r="R25" s="45">
        <f t="shared" ref="R25:T25" si="7">+R16+R23</f>
        <v>-58</v>
      </c>
      <c r="S25" s="45">
        <f t="shared" si="7"/>
        <v>-58</v>
      </c>
      <c r="T25" s="45">
        <f t="shared" si="7"/>
        <v>-58</v>
      </c>
      <c r="U25" s="45">
        <f>+U16+U23</f>
        <v>1212</v>
      </c>
    </row>
    <row r="26" spans="1:137" ht="15.75" thickTop="1" x14ac:dyDescent="0.25">
      <c r="B26" s="10"/>
      <c r="E26" s="18"/>
      <c r="I26" s="18"/>
      <c r="K26" s="30"/>
    </row>
    <row r="27" spans="1:137" ht="15.75" thickBot="1" x14ac:dyDescent="0.3">
      <c r="A27" s="3"/>
      <c r="B27" s="15"/>
      <c r="C27" s="26"/>
      <c r="D27" s="3"/>
      <c r="E27" s="23"/>
      <c r="F27" s="3"/>
      <c r="G27" s="4"/>
      <c r="H27" s="3"/>
      <c r="I27" s="23"/>
      <c r="J27" s="3"/>
      <c r="K27" s="29"/>
      <c r="O27" s="1" t="s">
        <v>33</v>
      </c>
      <c r="P27" s="46">
        <f>+P25</f>
        <v>-2000</v>
      </c>
      <c r="Q27" s="41">
        <f>+Q25/(1.08^1)</f>
        <v>-53.703703703703702</v>
      </c>
      <c r="R27" s="41">
        <f>+R25/(1.08^2)</f>
        <v>-49.725651577503427</v>
      </c>
      <c r="S27" s="41">
        <f>+S25/(1.08^3)</f>
        <v>-46.042269979169838</v>
      </c>
      <c r="T27" s="41">
        <f>+T25/(1.08^4)</f>
        <v>-42.631731462194288</v>
      </c>
      <c r="U27" s="41">
        <f>+U25/(1.08^5)</f>
        <v>824.86683480490865</v>
      </c>
    </row>
    <row r="28" spans="1:137" ht="15.75" thickTop="1" x14ac:dyDescent="0.25">
      <c r="B28" s="10"/>
      <c r="E28" s="18"/>
      <c r="I28" s="18"/>
      <c r="K28" s="30"/>
      <c r="P28" s="41">
        <f>SUM(P27:U27)</f>
        <v>-1367.2365219176627</v>
      </c>
      <c r="Q28" s="1" t="s">
        <v>41</v>
      </c>
      <c r="R28" s="41"/>
      <c r="S28" s="41"/>
      <c r="T28" s="41"/>
      <c r="U28" s="41"/>
    </row>
    <row r="29" spans="1:137" ht="15.75" thickBot="1" x14ac:dyDescent="0.3">
      <c r="A29" s="3"/>
      <c r="B29" s="15" t="s">
        <v>52</v>
      </c>
      <c r="C29" s="22">
        <v>-2000</v>
      </c>
      <c r="D29" s="3"/>
      <c r="E29" s="23" t="s">
        <v>53</v>
      </c>
      <c r="F29" s="3"/>
      <c r="G29" s="4">
        <f>+C29</f>
        <v>-2000</v>
      </c>
      <c r="H29" s="3"/>
      <c r="I29" s="23">
        <v>1</v>
      </c>
      <c r="J29" s="3"/>
      <c r="K29" s="29">
        <f>+I29*G29</f>
        <v>-2000</v>
      </c>
      <c r="M29" s="1">
        <v>3</v>
      </c>
      <c r="N29" s="31"/>
    </row>
    <row r="30" spans="1:137" ht="15.75" thickTop="1" x14ac:dyDescent="0.25">
      <c r="B30" s="10"/>
      <c r="C30" s="12"/>
      <c r="E30" s="18"/>
      <c r="I30" s="18"/>
      <c r="K30" s="30"/>
      <c r="Q30" s="1" t="s">
        <v>47</v>
      </c>
      <c r="W30" s="1">
        <f>SUM(W5:W21)</f>
        <v>15</v>
      </c>
    </row>
    <row r="31" spans="1:137" x14ac:dyDescent="0.25">
      <c r="B31" s="10"/>
      <c r="C31" s="12"/>
      <c r="E31" s="18"/>
      <c r="I31" s="25"/>
      <c r="K31" s="30"/>
    </row>
    <row r="32" spans="1:137" x14ac:dyDescent="0.25">
      <c r="B32" s="16"/>
      <c r="E32" s="18"/>
      <c r="I32" s="25"/>
      <c r="K32" s="30"/>
    </row>
    <row r="33" spans="2:137" ht="15.75" thickBot="1" x14ac:dyDescent="0.3">
      <c r="B33" s="15"/>
      <c r="C33" s="22"/>
      <c r="D33" s="3"/>
      <c r="E33" s="23"/>
      <c r="F33" s="3"/>
      <c r="G33" s="4"/>
      <c r="H33" s="3"/>
      <c r="I33" s="27"/>
      <c r="J33" s="3"/>
      <c r="K33" s="29"/>
    </row>
    <row r="34" spans="2:137" ht="15.75" thickTop="1" x14ac:dyDescent="0.25">
      <c r="B34" s="10"/>
      <c r="E34" s="19"/>
      <c r="I34" s="19"/>
      <c r="K34" s="30"/>
    </row>
    <row r="35" spans="2:137" s="3" customFormat="1" ht="15.75" thickBot="1" x14ac:dyDescent="0.3">
      <c r="B35" s="15" t="s">
        <v>9</v>
      </c>
      <c r="C35" s="26"/>
      <c r="E35" s="20"/>
      <c r="G35" s="4"/>
      <c r="I35" s="20"/>
      <c r="K35" s="29">
        <f>+K10+K16+K20+K27+K29+K33+K23</f>
        <v>-1367.2365219176627</v>
      </c>
      <c r="L35" s="1"/>
      <c r="M35" s="1">
        <f>SUM(M7:M33)</f>
        <v>15</v>
      </c>
      <c r="N35" s="28" t="s">
        <v>17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</row>
    <row r="36" spans="2:137" ht="15.75" thickTop="1" x14ac:dyDescent="0.25"/>
    <row r="38" spans="2:137" x14ac:dyDescent="0.25">
      <c r="K38" s="34"/>
    </row>
    <row r="39" spans="2:137" x14ac:dyDescent="0.25">
      <c r="K39" s="54"/>
    </row>
  </sheetData>
  <mergeCells count="2">
    <mergeCell ref="B1:K1"/>
    <mergeCell ref="B2:K2"/>
  </mergeCells>
  <pageMargins left="0.7" right="0.7" top="0.75" bottom="0.75" header="0.3" footer="0.3"/>
  <pageSetup orientation="portrait" r:id="rId1"/>
  <ignoredErrors>
    <ignoredError sqref="X1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40DE5-F7FD-4260-8685-D1FCD1377DAA}">
  <dimension ref="A1:EG39"/>
  <sheetViews>
    <sheetView zoomScale="80" zoomScaleNormal="80" workbookViewId="0">
      <selection activeCell="B1" sqref="B1:K2"/>
    </sheetView>
  </sheetViews>
  <sheetFormatPr baseColWidth="10" defaultColWidth="11.42578125" defaultRowHeight="15" x14ac:dyDescent="0.25"/>
  <cols>
    <col min="1" max="1" width="1.42578125" style="1" customWidth="1"/>
    <col min="2" max="2" width="49.5703125" style="1" customWidth="1"/>
    <col min="3" max="3" width="11.5703125" style="11" customWidth="1"/>
    <col min="4" max="4" width="3.42578125" style="1" customWidth="1"/>
    <col min="5" max="5" width="18.140625" style="1" customWidth="1"/>
    <col min="6" max="6" width="3" style="1" customWidth="1"/>
    <col min="7" max="7" width="12.5703125" style="2" customWidth="1"/>
    <col min="8" max="8" width="2.85546875" style="1" customWidth="1"/>
    <col min="9" max="9" width="13" style="1" bestFit="1" customWidth="1"/>
    <col min="10" max="10" width="3.28515625" style="1" customWidth="1"/>
    <col min="11" max="11" width="13.7109375" style="2" bestFit="1" customWidth="1"/>
    <col min="12" max="12" width="2.5703125" style="1" customWidth="1"/>
    <col min="13" max="13" width="3.85546875" style="1" customWidth="1"/>
    <col min="14" max="14" width="4.140625" style="28" customWidth="1"/>
    <col min="15" max="15" width="51.140625" style="1" bestFit="1" customWidth="1"/>
    <col min="16" max="21" width="11.42578125" style="1"/>
    <col min="22" max="22" width="2" style="1" customWidth="1"/>
    <col min="23" max="23" width="3.42578125" style="1" bestFit="1" customWidth="1"/>
    <col min="24" max="24" width="11.42578125" style="1"/>
    <col min="25" max="25" width="2.85546875" style="1" customWidth="1"/>
    <col min="26" max="26" width="11.42578125" style="49"/>
    <col min="27" max="16384" width="11.42578125" style="1"/>
  </cols>
  <sheetData>
    <row r="1" spans="1:137" x14ac:dyDescent="0.25">
      <c r="B1" s="52"/>
      <c r="C1" s="52"/>
      <c r="D1" s="52"/>
      <c r="E1" s="52"/>
      <c r="F1" s="52"/>
      <c r="G1" s="52"/>
      <c r="H1" s="52"/>
      <c r="I1" s="52"/>
      <c r="J1" s="52"/>
      <c r="K1" s="52"/>
      <c r="M1" s="35"/>
    </row>
    <row r="2" spans="1:137" ht="15.75" thickBot="1" x14ac:dyDescent="0.3">
      <c r="B2" s="52"/>
      <c r="C2" s="52"/>
      <c r="D2" s="52"/>
      <c r="E2" s="52"/>
      <c r="F2" s="52"/>
      <c r="G2" s="52"/>
      <c r="H2" s="52"/>
      <c r="I2" s="52"/>
      <c r="J2" s="52"/>
      <c r="K2" s="52"/>
      <c r="P2" s="11" t="s">
        <v>22</v>
      </c>
      <c r="Q2" s="11" t="s">
        <v>23</v>
      </c>
      <c r="R2" s="11" t="s">
        <v>24</v>
      </c>
      <c r="S2" s="11" t="s">
        <v>25</v>
      </c>
      <c r="T2" s="11" t="s">
        <v>26</v>
      </c>
      <c r="U2" s="11" t="s">
        <v>27</v>
      </c>
    </row>
    <row r="3" spans="1:137" x14ac:dyDescent="0.25">
      <c r="B3" s="5"/>
      <c r="C3" s="7"/>
      <c r="D3" s="6"/>
      <c r="E3" s="17" t="s">
        <v>1</v>
      </c>
      <c r="F3" s="7"/>
      <c r="G3" s="8" t="s">
        <v>3</v>
      </c>
      <c r="H3" s="7"/>
      <c r="I3" s="17" t="s">
        <v>4</v>
      </c>
      <c r="J3" s="7"/>
      <c r="K3" s="9" t="s">
        <v>6</v>
      </c>
      <c r="O3" s="1" t="s">
        <v>19</v>
      </c>
      <c r="P3" s="41"/>
      <c r="Q3" s="41"/>
      <c r="R3" s="41"/>
      <c r="S3" s="41"/>
      <c r="T3" s="41"/>
      <c r="U3" s="41"/>
    </row>
    <row r="4" spans="1:137" x14ac:dyDescent="0.25">
      <c r="B4" s="10"/>
      <c r="C4" s="12"/>
      <c r="E4" s="18" t="s">
        <v>2</v>
      </c>
      <c r="F4" s="11"/>
      <c r="G4" s="12" t="s">
        <v>2</v>
      </c>
      <c r="H4" s="11"/>
      <c r="I4" s="18" t="s">
        <v>5</v>
      </c>
      <c r="J4" s="11"/>
      <c r="K4" s="13" t="s">
        <v>2</v>
      </c>
      <c r="P4" s="41"/>
      <c r="Q4" s="41"/>
      <c r="R4" s="41"/>
      <c r="S4" s="41"/>
      <c r="T4" s="41"/>
      <c r="U4" s="41"/>
    </row>
    <row r="5" spans="1:137" x14ac:dyDescent="0.25">
      <c r="B5" s="10"/>
      <c r="E5" s="19"/>
      <c r="H5" s="11"/>
      <c r="I5" s="21" t="s">
        <v>12</v>
      </c>
      <c r="J5" s="11"/>
      <c r="K5" s="13"/>
      <c r="O5" s="1" t="s">
        <v>37</v>
      </c>
      <c r="P5" s="41"/>
      <c r="Q5" s="41">
        <v>-100</v>
      </c>
      <c r="R5" s="41">
        <f>+Q5</f>
        <v>-100</v>
      </c>
      <c r="S5" s="41">
        <f>+R5</f>
        <v>-100</v>
      </c>
      <c r="T5" s="41">
        <f t="shared" ref="T5:U5" si="0">+S5</f>
        <v>-100</v>
      </c>
      <c r="U5" s="41">
        <f t="shared" si="0"/>
        <v>-100</v>
      </c>
      <c r="W5" s="1">
        <v>1</v>
      </c>
      <c r="X5" s="1" t="s">
        <v>17</v>
      </c>
      <c r="Z5" s="50">
        <f>+'Opción Chino (1)'!Z5</f>
        <v>2000</v>
      </c>
      <c r="AA5" s="51" t="str">
        <f>+'Opción Chino (1)'!AA5</f>
        <v>Inversión</v>
      </c>
    </row>
    <row r="6" spans="1:137" x14ac:dyDescent="0.25">
      <c r="B6" s="10"/>
      <c r="C6" s="61" t="s">
        <v>55</v>
      </c>
      <c r="E6" s="19"/>
      <c r="I6" s="19"/>
      <c r="K6" s="14"/>
      <c r="O6" s="1" t="s">
        <v>38</v>
      </c>
      <c r="P6" s="41"/>
      <c r="Q6" s="42">
        <f>(P20*0.9)/10</f>
        <v>-180</v>
      </c>
      <c r="R6" s="42">
        <f>+Q6</f>
        <v>-180</v>
      </c>
      <c r="S6" s="41">
        <f>+R6</f>
        <v>-180</v>
      </c>
      <c r="T6" s="41">
        <f>+S6</f>
        <v>-180</v>
      </c>
      <c r="U6" s="41">
        <f>+T6</f>
        <v>-180</v>
      </c>
      <c r="W6" s="1">
        <v>1</v>
      </c>
      <c r="X6" s="1" t="s">
        <v>17</v>
      </c>
      <c r="Z6" s="50">
        <f>+'Opción Chino (1)'!Z6</f>
        <v>-900</v>
      </c>
      <c r="AA6" s="51" t="str">
        <f>+'Opción Chino (1)'!AA6</f>
        <v>Dep Ac</v>
      </c>
    </row>
    <row r="7" spans="1:137" x14ac:dyDescent="0.25">
      <c r="B7" s="10"/>
      <c r="E7" s="18"/>
      <c r="I7" s="25"/>
      <c r="K7" s="30"/>
      <c r="P7" s="41"/>
      <c r="Q7" s="41"/>
      <c r="R7" s="41"/>
      <c r="S7" s="41"/>
      <c r="T7" s="41"/>
      <c r="U7" s="41"/>
      <c r="Z7" s="50">
        <f>+'Opción Chino (1)'!Z7</f>
        <v>1100</v>
      </c>
      <c r="AA7" s="51" t="str">
        <f>+'Opción Chino (1)'!AA7</f>
        <v>Valor libro</v>
      </c>
    </row>
    <row r="8" spans="1:137" x14ac:dyDescent="0.25">
      <c r="B8" s="10"/>
      <c r="C8" s="33">
        <f>+'Opción Chino (1)'!C8</f>
        <v>-85</v>
      </c>
      <c r="E8" s="18" t="s">
        <v>49</v>
      </c>
      <c r="G8" s="34">
        <f>+C8</f>
        <v>-85</v>
      </c>
      <c r="I8" s="25">
        <f>+'Opción Chino (1)'!I8</f>
        <v>3.992710037078087</v>
      </c>
      <c r="K8" s="30">
        <f>+I8*G8</f>
        <v>-339.38035315163739</v>
      </c>
      <c r="P8" s="41"/>
      <c r="Q8" s="41"/>
      <c r="R8" s="41"/>
      <c r="S8" s="41"/>
      <c r="T8" s="41"/>
      <c r="U8" s="41"/>
      <c r="Z8" s="50">
        <f>+'Opción Chino (1)'!Z8</f>
        <v>1300</v>
      </c>
      <c r="AA8" s="51" t="str">
        <f>+'Opción Chino (1)'!AA8</f>
        <v xml:space="preserve">Valor Venta </v>
      </c>
    </row>
    <row r="9" spans="1:137" x14ac:dyDescent="0.25">
      <c r="B9" s="10"/>
      <c r="E9" s="18"/>
      <c r="I9" s="25"/>
      <c r="K9" s="30"/>
      <c r="O9" s="1" t="s">
        <v>28</v>
      </c>
      <c r="P9" s="41"/>
      <c r="Q9" s="41">
        <f>SUM(Q5:Q7)</f>
        <v>-280</v>
      </c>
      <c r="R9" s="41">
        <f>SUM(R5:R7)</f>
        <v>-280</v>
      </c>
      <c r="S9" s="41">
        <f>SUM(S5:S7)</f>
        <v>-280</v>
      </c>
      <c r="T9" s="41">
        <f>SUM(T5:T7)</f>
        <v>-280</v>
      </c>
      <c r="U9" s="41">
        <f>SUM(U5:U7)</f>
        <v>-280</v>
      </c>
      <c r="W9" s="1">
        <v>1</v>
      </c>
      <c r="X9" s="1" t="str">
        <f>+X6</f>
        <v>puntos</v>
      </c>
      <c r="Z9" s="50">
        <f>+'Opción Chino (1)'!Z9</f>
        <v>200</v>
      </c>
      <c r="AA9" s="51" t="str">
        <f>+'Opción Chino (1)'!AA9</f>
        <v xml:space="preserve">Ut por Venta </v>
      </c>
    </row>
    <row r="10" spans="1:137" ht="15.75" thickBot="1" x14ac:dyDescent="0.3">
      <c r="A10" s="3"/>
      <c r="B10" s="15" t="s">
        <v>16</v>
      </c>
      <c r="C10" s="26"/>
      <c r="D10" s="3"/>
      <c r="E10" s="23"/>
      <c r="F10" s="3"/>
      <c r="G10" s="4"/>
      <c r="H10" s="3"/>
      <c r="I10" s="24"/>
      <c r="J10" s="3"/>
      <c r="K10" s="29">
        <f>SUM(K8:K9)</f>
        <v>-339.38035315163739</v>
      </c>
      <c r="M10" s="1">
        <v>4</v>
      </c>
      <c r="O10" s="1" t="s">
        <v>29</v>
      </c>
      <c r="P10" s="41"/>
      <c r="Q10" s="41">
        <f>+Q9*0.15</f>
        <v>-42</v>
      </c>
      <c r="R10" s="41">
        <f t="shared" ref="R10:U10" si="1">+R9*0.15</f>
        <v>-42</v>
      </c>
      <c r="S10" s="41">
        <f t="shared" si="1"/>
        <v>-42</v>
      </c>
      <c r="T10" s="41">
        <f t="shared" si="1"/>
        <v>-42</v>
      </c>
      <c r="U10" s="41">
        <f t="shared" si="1"/>
        <v>-42</v>
      </c>
      <c r="W10" s="1">
        <v>2</v>
      </c>
      <c r="X10" s="1" t="str">
        <f>+X9</f>
        <v>puntos</v>
      </c>
      <c r="AA10" s="51"/>
    </row>
    <row r="11" spans="1:137" ht="15.75" thickTop="1" x14ac:dyDescent="0.25">
      <c r="B11" s="10"/>
      <c r="E11" s="18"/>
      <c r="I11" s="25"/>
      <c r="K11" s="30"/>
      <c r="O11" s="1" t="s">
        <v>30</v>
      </c>
      <c r="P11" s="41"/>
      <c r="Q11" s="41">
        <f>+Q9-Q10</f>
        <v>-238</v>
      </c>
      <c r="R11" s="41">
        <f t="shared" ref="R11:U11" si="2">+R9-R10</f>
        <v>-238</v>
      </c>
      <c r="S11" s="41">
        <f t="shared" si="2"/>
        <v>-238</v>
      </c>
      <c r="T11" s="41">
        <f>+T9-T10</f>
        <v>-238</v>
      </c>
      <c r="U11" s="41">
        <f t="shared" si="2"/>
        <v>-238</v>
      </c>
      <c r="W11" s="1">
        <v>2</v>
      </c>
      <c r="X11" s="1" t="str">
        <f t="shared" ref="X11" si="3">+X9</f>
        <v>puntos</v>
      </c>
    </row>
    <row r="12" spans="1:137" x14ac:dyDescent="0.25">
      <c r="B12" s="10"/>
      <c r="E12" s="18"/>
      <c r="I12" s="25"/>
      <c r="K12" s="30"/>
      <c r="P12" s="41"/>
      <c r="Q12" s="41"/>
      <c r="R12" s="41"/>
      <c r="S12" s="41"/>
      <c r="T12" s="41"/>
      <c r="U12" s="41"/>
    </row>
    <row r="13" spans="1:137" x14ac:dyDescent="0.25">
      <c r="B13" s="10"/>
      <c r="E13" s="18"/>
      <c r="I13" s="25"/>
      <c r="K13" s="30"/>
      <c r="O13" s="1" t="s">
        <v>39</v>
      </c>
      <c r="P13" s="41"/>
      <c r="Q13" s="41">
        <f>+Q6</f>
        <v>-180</v>
      </c>
      <c r="R13" s="41">
        <f t="shared" ref="R13:U13" si="4">+R6</f>
        <v>-180</v>
      </c>
      <c r="S13" s="41">
        <f t="shared" si="4"/>
        <v>-180</v>
      </c>
      <c r="T13" s="41">
        <f t="shared" si="4"/>
        <v>-180</v>
      </c>
      <c r="U13" s="41">
        <f t="shared" si="4"/>
        <v>-180</v>
      </c>
    </row>
    <row r="14" spans="1:137" x14ac:dyDescent="0.25">
      <c r="B14" s="10" t="s">
        <v>14</v>
      </c>
      <c r="C14" s="12">
        <v>180</v>
      </c>
      <c r="E14" s="18"/>
      <c r="I14" s="25"/>
      <c r="K14" s="30"/>
      <c r="Q14" s="46"/>
      <c r="R14" s="46"/>
      <c r="S14" s="46"/>
      <c r="T14" s="46"/>
      <c r="U14" s="46"/>
    </row>
    <row r="15" spans="1:137" x14ac:dyDescent="0.25">
      <c r="B15" s="16">
        <v>0.15</v>
      </c>
      <c r="C15" s="11" t="s">
        <v>10</v>
      </c>
      <c r="E15" s="18"/>
      <c r="I15" s="25"/>
      <c r="K15" s="30"/>
    </row>
    <row r="16" spans="1:137" s="3" customFormat="1" ht="15.75" thickBot="1" x14ac:dyDescent="0.3">
      <c r="B16" s="15" t="s">
        <v>7</v>
      </c>
      <c r="C16" s="22">
        <f>C14*0.15</f>
        <v>27</v>
      </c>
      <c r="E16" s="23" t="s">
        <v>13</v>
      </c>
      <c r="G16" s="4">
        <f>C16</f>
        <v>27</v>
      </c>
      <c r="I16" s="27">
        <f>+'Opción Chino (1)'!I16</f>
        <v>3.992710037078087</v>
      </c>
      <c r="K16" s="29">
        <f>G16*I16</f>
        <v>107.80317100110835</v>
      </c>
      <c r="L16" s="1"/>
      <c r="M16" s="1">
        <v>4</v>
      </c>
      <c r="N16" s="28"/>
      <c r="O16" s="3" t="s">
        <v>31</v>
      </c>
      <c r="Q16" s="43">
        <f>+Q11-Q13-Q14</f>
        <v>-58</v>
      </c>
      <c r="R16" s="43">
        <f t="shared" ref="R16:U16" si="5">+R11-R13-R14</f>
        <v>-58</v>
      </c>
      <c r="S16" s="43">
        <f t="shared" si="5"/>
        <v>-58</v>
      </c>
      <c r="T16" s="43">
        <f t="shared" si="5"/>
        <v>-58</v>
      </c>
      <c r="U16" s="43">
        <f t="shared" si="5"/>
        <v>-58</v>
      </c>
      <c r="W16" s="1">
        <v>4</v>
      </c>
      <c r="X16" s="1" t="str">
        <f>+X11</f>
        <v>puntos</v>
      </c>
      <c r="Y16" s="1"/>
      <c r="Z16" s="49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</row>
    <row r="17" spans="1:137" ht="15.75" thickTop="1" x14ac:dyDescent="0.25">
      <c r="B17" s="10"/>
      <c r="C17" s="12"/>
      <c r="E17" s="18"/>
      <c r="I17" s="32"/>
      <c r="K17" s="30"/>
    </row>
    <row r="18" spans="1:137" x14ac:dyDescent="0.25">
      <c r="B18" s="10" t="s">
        <v>15</v>
      </c>
      <c r="C18" s="12">
        <v>1270</v>
      </c>
      <c r="E18" s="18"/>
      <c r="I18" s="18"/>
      <c r="K18" s="30"/>
      <c r="O18" s="1" t="s">
        <v>20</v>
      </c>
      <c r="P18" s="41"/>
      <c r="Q18" s="41"/>
      <c r="R18" s="41"/>
      <c r="S18" s="41"/>
      <c r="T18" s="41"/>
      <c r="U18" s="41"/>
    </row>
    <row r="19" spans="1:137" x14ac:dyDescent="0.25">
      <c r="B19" s="10" t="s">
        <v>0</v>
      </c>
      <c r="E19" s="18"/>
      <c r="I19" s="18"/>
      <c r="K19" s="30"/>
      <c r="P19" s="41"/>
      <c r="Q19" s="41"/>
      <c r="R19" s="41"/>
      <c r="S19" s="41"/>
      <c r="T19" s="41"/>
      <c r="U19" s="41"/>
    </row>
    <row r="20" spans="1:137" s="3" customFormat="1" ht="15.75" thickBot="1" x14ac:dyDescent="0.3">
      <c r="B20" s="15" t="s">
        <v>8</v>
      </c>
      <c r="C20" s="22">
        <f>+C18</f>
        <v>1270</v>
      </c>
      <c r="E20" s="23" t="s">
        <v>50</v>
      </c>
      <c r="G20" s="4">
        <f>C20</f>
        <v>1270</v>
      </c>
      <c r="I20" s="23">
        <f>+'Opción Chino (1)'!I20</f>
        <v>0.68058319703375303</v>
      </c>
      <c r="K20" s="29">
        <f>I20*G20</f>
        <v>864.3406602328663</v>
      </c>
      <c r="L20" s="1"/>
      <c r="M20" s="1">
        <v>4</v>
      </c>
      <c r="N20" s="28"/>
      <c r="O20" s="1" t="s">
        <v>35</v>
      </c>
      <c r="P20" s="41">
        <v>-2000</v>
      </c>
      <c r="Q20" s="41"/>
      <c r="R20" s="41"/>
      <c r="S20" s="41"/>
      <c r="T20" s="41"/>
      <c r="U20" s="41"/>
      <c r="V20" s="1"/>
      <c r="W20" s="1">
        <v>1</v>
      </c>
      <c r="X20" s="1" t="s">
        <v>17</v>
      </c>
      <c r="Y20" s="1"/>
      <c r="Z20" s="49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</row>
    <row r="21" spans="1:137" ht="15.75" thickTop="1" x14ac:dyDescent="0.25">
      <c r="B21" s="10"/>
      <c r="E21" s="18"/>
      <c r="I21" s="18"/>
      <c r="K21" s="30"/>
      <c r="O21" s="1" t="s">
        <v>36</v>
      </c>
      <c r="P21" s="41"/>
      <c r="Q21" s="41"/>
      <c r="R21" s="41"/>
      <c r="S21" s="41"/>
      <c r="T21" s="41"/>
      <c r="U21" s="41">
        <f>1300-(200*0.15)</f>
        <v>1270</v>
      </c>
      <c r="W21" s="1">
        <v>3</v>
      </c>
      <c r="X21" s="1" t="s">
        <v>34</v>
      </c>
    </row>
    <row r="22" spans="1:137" x14ac:dyDescent="0.25">
      <c r="A22" s="35"/>
      <c r="B22" s="36"/>
      <c r="C22" s="40"/>
      <c r="D22" s="35"/>
      <c r="E22" s="37"/>
      <c r="F22" s="35"/>
      <c r="G22" s="38"/>
      <c r="H22" s="35"/>
      <c r="I22" s="37"/>
      <c r="J22" s="35"/>
      <c r="K22" s="39"/>
      <c r="P22" s="41"/>
      <c r="Q22" s="41"/>
      <c r="R22" s="41"/>
      <c r="S22" s="41"/>
      <c r="T22" s="41"/>
      <c r="U22" s="41"/>
    </row>
    <row r="23" spans="1:137" ht="15.75" thickBot="1" x14ac:dyDescent="0.3">
      <c r="A23" s="35"/>
      <c r="B23" s="36"/>
      <c r="C23" s="40"/>
      <c r="D23" s="35"/>
      <c r="E23" s="37"/>
      <c r="F23" s="35"/>
      <c r="G23" s="38"/>
      <c r="H23" s="35"/>
      <c r="I23" s="37"/>
      <c r="J23" s="35"/>
      <c r="K23" s="39"/>
      <c r="O23" s="44" t="s">
        <v>32</v>
      </c>
      <c r="P23" s="45">
        <f>+P20</f>
        <v>-2000</v>
      </c>
      <c r="Q23" s="45"/>
      <c r="R23" s="45"/>
      <c r="S23" s="45"/>
      <c r="T23" s="45"/>
      <c r="U23" s="45">
        <f>+U20+U21</f>
        <v>1270</v>
      </c>
    </row>
    <row r="24" spans="1:137" ht="15.75" thickTop="1" x14ac:dyDescent="0.25">
      <c r="B24" s="10"/>
      <c r="E24" s="18"/>
      <c r="I24" s="18"/>
      <c r="K24" s="30"/>
      <c r="P24" s="41"/>
      <c r="Q24" s="41"/>
      <c r="R24" s="41"/>
      <c r="S24" s="41"/>
      <c r="T24" s="41"/>
      <c r="U24" s="41"/>
    </row>
    <row r="25" spans="1:137" ht="15.75" thickBot="1" x14ac:dyDescent="0.3">
      <c r="B25" s="10"/>
      <c r="E25" s="18"/>
      <c r="I25" s="18"/>
      <c r="K25" s="30"/>
      <c r="O25" s="44" t="s">
        <v>21</v>
      </c>
      <c r="P25" s="45">
        <f>+P16+P23</f>
        <v>-2000</v>
      </c>
      <c r="Q25" s="45">
        <f>+Q16+Q23</f>
        <v>-58</v>
      </c>
      <c r="R25" s="45">
        <f t="shared" ref="R25:T25" si="6">+R16+R23</f>
        <v>-58</v>
      </c>
      <c r="S25" s="45">
        <f t="shared" si="6"/>
        <v>-58</v>
      </c>
      <c r="T25" s="45">
        <f t="shared" si="6"/>
        <v>-58</v>
      </c>
      <c r="U25" s="45">
        <f>+U16+U23</f>
        <v>1212</v>
      </c>
    </row>
    <row r="26" spans="1:137" ht="15.75" thickTop="1" x14ac:dyDescent="0.25">
      <c r="B26" s="10"/>
      <c r="E26" s="18"/>
      <c r="I26" s="18"/>
      <c r="K26" s="30"/>
    </row>
    <row r="27" spans="1:137" ht="15.75" thickBot="1" x14ac:dyDescent="0.3">
      <c r="A27" s="3"/>
      <c r="B27" s="15"/>
      <c r="C27" s="26"/>
      <c r="D27" s="3"/>
      <c r="E27" s="23"/>
      <c r="F27" s="3"/>
      <c r="G27" s="4"/>
      <c r="H27" s="3"/>
      <c r="I27" s="23"/>
      <c r="J27" s="3"/>
      <c r="K27" s="29"/>
      <c r="O27" s="1" t="s">
        <v>33</v>
      </c>
      <c r="P27" s="46">
        <f>+P25</f>
        <v>-2000</v>
      </c>
      <c r="Q27" s="41">
        <f>+Q25/(1.08^1)</f>
        <v>-53.703703703703702</v>
      </c>
      <c r="R27" s="41">
        <f>+R25/(1.08^2)</f>
        <v>-49.725651577503427</v>
      </c>
      <c r="S27" s="41">
        <f>+S25/(1.08^3)</f>
        <v>-46.042269979169838</v>
      </c>
      <c r="T27" s="41">
        <f>+T25/(1.08^4)</f>
        <v>-42.631731462194288</v>
      </c>
      <c r="U27" s="41">
        <f>+U25/(1.08^5)</f>
        <v>824.86683480490865</v>
      </c>
    </row>
    <row r="28" spans="1:137" ht="15.75" thickTop="1" x14ac:dyDescent="0.25">
      <c r="B28" s="10"/>
      <c r="E28" s="18"/>
      <c r="I28" s="18"/>
      <c r="K28" s="30"/>
      <c r="P28" s="41">
        <f>SUM(P27:U27)</f>
        <v>-1367.2365219176627</v>
      </c>
      <c r="Q28" s="1" t="s">
        <v>41</v>
      </c>
      <c r="R28" s="41"/>
      <c r="S28" s="41"/>
      <c r="T28" s="41"/>
      <c r="U28" s="41"/>
    </row>
    <row r="29" spans="1:137" ht="15.75" thickBot="1" x14ac:dyDescent="0.3">
      <c r="A29" s="3"/>
      <c r="B29" s="15"/>
      <c r="C29" s="22"/>
      <c r="D29" s="3"/>
      <c r="E29" s="23"/>
      <c r="F29" s="3"/>
      <c r="G29" s="4"/>
      <c r="H29" s="3"/>
      <c r="I29" s="23"/>
      <c r="J29" s="3"/>
      <c r="K29" s="29"/>
      <c r="N29" s="31"/>
    </row>
    <row r="30" spans="1:137" ht="15.75" thickTop="1" x14ac:dyDescent="0.25">
      <c r="B30" s="10"/>
      <c r="C30" s="12"/>
      <c r="E30" s="18"/>
      <c r="I30" s="18"/>
      <c r="K30" s="30"/>
      <c r="Q30" s="1" t="s">
        <v>47</v>
      </c>
      <c r="W30" s="1">
        <f>SUM(W5:W21)</f>
        <v>15</v>
      </c>
    </row>
    <row r="31" spans="1:137" x14ac:dyDescent="0.25">
      <c r="B31" s="10"/>
      <c r="C31" s="12"/>
      <c r="E31" s="18"/>
      <c r="I31" s="25"/>
      <c r="K31" s="30"/>
    </row>
    <row r="32" spans="1:137" x14ac:dyDescent="0.25">
      <c r="B32" s="16"/>
      <c r="E32" s="18"/>
      <c r="I32" s="25"/>
      <c r="K32" s="30"/>
    </row>
    <row r="33" spans="2:137" ht="15.75" thickBot="1" x14ac:dyDescent="0.3">
      <c r="B33" s="15" t="s">
        <v>56</v>
      </c>
      <c r="C33" s="22"/>
      <c r="D33" s="3"/>
      <c r="E33" s="23" t="s">
        <v>57</v>
      </c>
      <c r="F33" s="3"/>
      <c r="G33" s="4">
        <v>-2000</v>
      </c>
      <c r="H33" s="3"/>
      <c r="I33" s="27">
        <v>1</v>
      </c>
      <c r="J33" s="3"/>
      <c r="K33" s="29">
        <v>-2000</v>
      </c>
      <c r="M33" s="1">
        <v>3</v>
      </c>
    </row>
    <row r="34" spans="2:137" ht="15.75" thickTop="1" x14ac:dyDescent="0.25">
      <c r="B34" s="10"/>
      <c r="E34" s="19"/>
      <c r="I34" s="19"/>
      <c r="K34" s="30"/>
    </row>
    <row r="35" spans="2:137" s="3" customFormat="1" ht="15.75" thickBot="1" x14ac:dyDescent="0.3">
      <c r="B35" s="15" t="s">
        <v>9</v>
      </c>
      <c r="C35" s="26"/>
      <c r="E35" s="20"/>
      <c r="G35" s="4"/>
      <c r="I35" s="20"/>
      <c r="K35" s="29">
        <f>+K10+K16+K20+K27+K29+K33+K23</f>
        <v>-1367.2365219176627</v>
      </c>
      <c r="L35" s="1"/>
      <c r="M35" s="1">
        <f>SUM(M7:M33)</f>
        <v>15</v>
      </c>
      <c r="N35" s="28" t="s">
        <v>17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49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</row>
    <row r="36" spans="2:137" ht="15.75" thickTop="1" x14ac:dyDescent="0.25"/>
    <row r="37" spans="2:137" x14ac:dyDescent="0.25">
      <c r="K37" s="2">
        <f>+P28</f>
        <v>-1367.2365219176627</v>
      </c>
    </row>
    <row r="39" spans="2:137" x14ac:dyDescent="0.25">
      <c r="K39" s="2">
        <f>+K35-K37</f>
        <v>0</v>
      </c>
    </row>
  </sheetData>
  <mergeCells count="2">
    <mergeCell ref="B1:K1"/>
    <mergeCell ref="B2:K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A63B1-B8F2-4E13-8B37-AB31B620BA6B}">
  <dimension ref="A1:EG36"/>
  <sheetViews>
    <sheetView zoomScale="80" zoomScaleNormal="80" workbookViewId="0">
      <selection activeCell="M32" sqref="M32"/>
    </sheetView>
  </sheetViews>
  <sheetFormatPr baseColWidth="10" defaultColWidth="11.42578125" defaultRowHeight="15" x14ac:dyDescent="0.25"/>
  <cols>
    <col min="1" max="1" width="1.42578125" style="1" customWidth="1"/>
    <col min="2" max="2" width="49.5703125" style="1" customWidth="1"/>
    <col min="3" max="3" width="11.5703125" style="11" customWidth="1"/>
    <col min="4" max="4" width="3.42578125" style="1" customWidth="1"/>
    <col min="5" max="5" width="18.140625" style="1" customWidth="1"/>
    <col min="6" max="6" width="3" style="1" customWidth="1"/>
    <col min="7" max="7" width="12.5703125" style="2" customWidth="1"/>
    <col min="8" max="8" width="2.85546875" style="1" customWidth="1"/>
    <col min="9" max="9" width="10.42578125" style="1" customWidth="1"/>
    <col min="10" max="10" width="3.28515625" style="1" customWidth="1"/>
    <col min="11" max="11" width="12.28515625" style="2" customWidth="1"/>
    <col min="12" max="12" width="2.5703125" style="1" customWidth="1"/>
    <col min="13" max="13" width="3.85546875" style="1" customWidth="1"/>
    <col min="14" max="14" width="4.140625" style="28" customWidth="1"/>
    <col min="15" max="15" width="51.140625" style="1" bestFit="1" customWidth="1"/>
    <col min="16" max="21" width="11.42578125" style="1"/>
    <col min="22" max="22" width="2" style="1" customWidth="1"/>
    <col min="23" max="23" width="3.42578125" style="1" bestFit="1" customWidth="1"/>
    <col min="24" max="25" width="11.42578125" style="1"/>
    <col min="26" max="26" width="11.42578125" style="50"/>
    <col min="27" max="16384" width="11.42578125" style="1"/>
  </cols>
  <sheetData>
    <row r="1" spans="1:137" x14ac:dyDescent="0.25">
      <c r="B1" s="52"/>
      <c r="C1" s="52"/>
      <c r="D1" s="52"/>
      <c r="E1" s="52"/>
      <c r="F1" s="52"/>
      <c r="G1" s="52"/>
      <c r="H1" s="52"/>
      <c r="I1" s="52"/>
      <c r="J1" s="52"/>
      <c r="K1" s="52"/>
      <c r="M1" s="35"/>
    </row>
    <row r="2" spans="1:137" ht="15.75" thickBot="1" x14ac:dyDescent="0.3">
      <c r="B2" s="52"/>
      <c r="C2" s="52"/>
      <c r="D2" s="52"/>
      <c r="E2" s="52"/>
      <c r="F2" s="52"/>
      <c r="G2" s="52"/>
      <c r="H2" s="52"/>
      <c r="I2" s="52"/>
      <c r="J2" s="52"/>
      <c r="K2" s="52"/>
      <c r="P2" s="11" t="s">
        <v>22</v>
      </c>
      <c r="Q2" s="11" t="s">
        <v>23</v>
      </c>
      <c r="R2" s="11" t="s">
        <v>24</v>
      </c>
      <c r="S2" s="11" t="s">
        <v>25</v>
      </c>
      <c r="T2" s="11" t="s">
        <v>26</v>
      </c>
      <c r="U2" s="11" t="s">
        <v>27</v>
      </c>
    </row>
    <row r="3" spans="1:137" x14ac:dyDescent="0.25">
      <c r="B3" s="5"/>
      <c r="C3" s="7"/>
      <c r="D3" s="6"/>
      <c r="E3" s="17" t="s">
        <v>1</v>
      </c>
      <c r="F3" s="7"/>
      <c r="G3" s="8" t="s">
        <v>3</v>
      </c>
      <c r="H3" s="7"/>
      <c r="I3" s="17" t="s">
        <v>4</v>
      </c>
      <c r="J3" s="7"/>
      <c r="K3" s="9" t="s">
        <v>6</v>
      </c>
      <c r="O3" s="1" t="s">
        <v>19</v>
      </c>
      <c r="P3" s="41"/>
      <c r="Q3" s="41"/>
      <c r="R3" s="41"/>
      <c r="S3" s="41"/>
      <c r="T3" s="41"/>
      <c r="U3" s="41"/>
    </row>
    <row r="4" spans="1:137" x14ac:dyDescent="0.25">
      <c r="B4" s="10"/>
      <c r="C4" s="12"/>
      <c r="E4" s="18" t="s">
        <v>2</v>
      </c>
      <c r="F4" s="11"/>
      <c r="G4" s="12" t="s">
        <v>2</v>
      </c>
      <c r="H4" s="11"/>
      <c r="I4" s="18" t="s">
        <v>5</v>
      </c>
      <c r="J4" s="11"/>
      <c r="K4" s="13" t="s">
        <v>2</v>
      </c>
      <c r="P4" s="41"/>
      <c r="Q4" s="41"/>
      <c r="R4" s="41"/>
      <c r="S4" s="41"/>
      <c r="T4" s="41"/>
      <c r="U4" s="41"/>
    </row>
    <row r="5" spans="1:137" x14ac:dyDescent="0.25">
      <c r="B5" s="10"/>
      <c r="E5" s="19"/>
      <c r="H5" s="11"/>
      <c r="I5" s="21" t="s">
        <v>12</v>
      </c>
      <c r="J5" s="11"/>
      <c r="K5" s="13"/>
      <c r="O5" s="1" t="s">
        <v>37</v>
      </c>
      <c r="P5" s="41"/>
      <c r="Q5" s="41">
        <v>-70</v>
      </c>
      <c r="R5" s="41">
        <f>+Q5</f>
        <v>-70</v>
      </c>
      <c r="S5" s="41">
        <f>+R5</f>
        <v>-70</v>
      </c>
      <c r="T5" s="41">
        <f t="shared" ref="T5:U5" si="0">+S5</f>
        <v>-70</v>
      </c>
      <c r="U5" s="41">
        <f t="shared" si="0"/>
        <v>-70</v>
      </c>
      <c r="W5" s="1">
        <v>1</v>
      </c>
      <c r="X5" s="1" t="s">
        <v>17</v>
      </c>
      <c r="Z5" s="50">
        <f>+'Opción Corea (2)'!AA6</f>
        <v>2500</v>
      </c>
      <c r="AA5" s="1" t="str">
        <f>+'Opción Corea (2)'!AB6</f>
        <v>Inversión</v>
      </c>
    </row>
    <row r="6" spans="1:137" x14ac:dyDescent="0.25">
      <c r="B6" s="10" t="s">
        <v>0</v>
      </c>
      <c r="C6" s="11" t="s">
        <v>58</v>
      </c>
      <c r="E6" s="19"/>
      <c r="I6" s="19"/>
      <c r="K6" s="14"/>
      <c r="O6" s="1" t="s">
        <v>38</v>
      </c>
      <c r="P6" s="41"/>
      <c r="Q6" s="47">
        <f>(P20*0.9)/8</f>
        <v>-281.25</v>
      </c>
      <c r="R6" s="42">
        <f>+Q6</f>
        <v>-281.25</v>
      </c>
      <c r="S6" s="41">
        <f>+R6</f>
        <v>-281.25</v>
      </c>
      <c r="T6" s="41">
        <f>+S6</f>
        <v>-281.25</v>
      </c>
      <c r="U6" s="41">
        <f>+T6</f>
        <v>-281.25</v>
      </c>
      <c r="W6" s="1">
        <v>1</v>
      </c>
      <c r="X6" s="1" t="s">
        <v>17</v>
      </c>
      <c r="Z6" s="50">
        <f>+'Opción Corea (2)'!AA7</f>
        <v>-1406.25</v>
      </c>
      <c r="AA6" s="1" t="str">
        <f>+'Opción Corea (2)'!AB7</f>
        <v>Dep Ac</v>
      </c>
    </row>
    <row r="7" spans="1:137" x14ac:dyDescent="0.25">
      <c r="B7" s="10"/>
      <c r="E7" s="18"/>
      <c r="I7" s="25"/>
      <c r="K7" s="30"/>
      <c r="O7" s="1" t="s">
        <v>40</v>
      </c>
      <c r="P7" s="41"/>
      <c r="Q7" s="41"/>
      <c r="R7" s="41"/>
      <c r="S7" s="41"/>
      <c r="T7" s="41"/>
      <c r="U7" s="41">
        <f>+Z9</f>
        <v>-93.75</v>
      </c>
      <c r="W7" s="1">
        <v>1</v>
      </c>
      <c r="X7" s="1" t="s">
        <v>17</v>
      </c>
      <c r="Z7" s="50">
        <f>+'Opción Corea (2)'!AA8</f>
        <v>1093.75</v>
      </c>
      <c r="AA7" s="1" t="str">
        <f>+'Opción Corea (2)'!AB8</f>
        <v>Valor libro</v>
      </c>
    </row>
    <row r="8" spans="1:137" x14ac:dyDescent="0.25">
      <c r="B8" s="10"/>
      <c r="C8" s="33">
        <f>-70*0.85</f>
        <v>-59.5</v>
      </c>
      <c r="E8" s="18" t="s">
        <v>49</v>
      </c>
      <c r="G8" s="34">
        <f>+C8</f>
        <v>-59.5</v>
      </c>
      <c r="I8" s="25">
        <f>+'Opción Chino (2)'!I8</f>
        <v>3.992710037078087</v>
      </c>
      <c r="K8" s="30">
        <f>+I8*G8</f>
        <v>-237.56624720614619</v>
      </c>
      <c r="P8" s="41"/>
      <c r="Q8" s="41"/>
      <c r="R8" s="41"/>
      <c r="S8" s="41"/>
      <c r="T8" s="41"/>
      <c r="U8" s="41"/>
      <c r="Z8" s="50">
        <f>+'Opción Corea (2)'!AA9</f>
        <v>1000</v>
      </c>
      <c r="AA8" s="1" t="str">
        <f>+'Opción Corea (2)'!AB9</f>
        <v xml:space="preserve">Valor Venta </v>
      </c>
    </row>
    <row r="9" spans="1:137" x14ac:dyDescent="0.25">
      <c r="B9" s="10"/>
      <c r="E9" s="18"/>
      <c r="I9" s="25"/>
      <c r="K9" s="30"/>
      <c r="O9" s="1" t="s">
        <v>28</v>
      </c>
      <c r="P9" s="41"/>
      <c r="Q9" s="41">
        <f>SUM(Q5:Q7)</f>
        <v>-351.25</v>
      </c>
      <c r="R9" s="41">
        <f>SUM(R5:R7)</f>
        <v>-351.25</v>
      </c>
      <c r="S9" s="41">
        <f>SUM(S5:S7)</f>
        <v>-351.25</v>
      </c>
      <c r="T9" s="41">
        <f>SUM(T5:T7)</f>
        <v>-351.25</v>
      </c>
      <c r="U9" s="41">
        <f>SUM(U5:U7)</f>
        <v>-445</v>
      </c>
      <c r="W9" s="1">
        <v>2</v>
      </c>
      <c r="X9" s="1" t="str">
        <f>+X7</f>
        <v>puntos</v>
      </c>
      <c r="Z9" s="50">
        <f>+'Opción Corea (2)'!AA10</f>
        <v>-93.75</v>
      </c>
      <c r="AA9" s="1" t="str">
        <f>+'Opción Corea (2)'!AB10</f>
        <v xml:space="preserve">PP por Venta </v>
      </c>
    </row>
    <row r="10" spans="1:137" ht="15.75" thickBot="1" x14ac:dyDescent="0.3">
      <c r="A10" s="3"/>
      <c r="B10" s="15" t="s">
        <v>16</v>
      </c>
      <c r="C10" s="26"/>
      <c r="D10" s="3"/>
      <c r="E10" s="23"/>
      <c r="F10" s="3"/>
      <c r="G10" s="4"/>
      <c r="H10" s="3"/>
      <c r="I10" s="24"/>
      <c r="J10" s="3"/>
      <c r="K10" s="29">
        <f>SUM(K8:K9)</f>
        <v>-237.56624720614619</v>
      </c>
      <c r="M10" s="1">
        <v>3</v>
      </c>
      <c r="O10" s="1" t="s">
        <v>29</v>
      </c>
      <c r="P10" s="41"/>
      <c r="Q10" s="41">
        <f>+Q9*0.15</f>
        <v>-52.6875</v>
      </c>
      <c r="R10" s="41">
        <f t="shared" ref="R10:U10" si="1">+R9*0.15</f>
        <v>-52.6875</v>
      </c>
      <c r="S10" s="41">
        <f t="shared" si="1"/>
        <v>-52.6875</v>
      </c>
      <c r="T10" s="41">
        <f t="shared" si="1"/>
        <v>-52.6875</v>
      </c>
      <c r="U10" s="41">
        <f t="shared" si="1"/>
        <v>-66.75</v>
      </c>
      <c r="W10" s="1">
        <v>2</v>
      </c>
      <c r="X10" s="1" t="str">
        <f>+X9</f>
        <v>puntos</v>
      </c>
    </row>
    <row r="11" spans="1:137" ht="15.75" thickTop="1" x14ac:dyDescent="0.25">
      <c r="B11" s="10"/>
      <c r="E11" s="18"/>
      <c r="I11" s="25"/>
      <c r="K11" s="30"/>
      <c r="O11" s="1" t="s">
        <v>30</v>
      </c>
      <c r="P11" s="41"/>
      <c r="Q11" s="41">
        <f>+Q9-Q10</f>
        <v>-298.5625</v>
      </c>
      <c r="R11" s="41">
        <f t="shared" ref="R11:U11" si="2">+R9-R10</f>
        <v>-298.5625</v>
      </c>
      <c r="S11" s="41">
        <f t="shared" si="2"/>
        <v>-298.5625</v>
      </c>
      <c r="T11" s="41">
        <f>+T9-T10</f>
        <v>-298.5625</v>
      </c>
      <c r="U11" s="41">
        <f t="shared" si="2"/>
        <v>-378.25</v>
      </c>
      <c r="W11" s="1">
        <v>2</v>
      </c>
      <c r="X11" s="1" t="str">
        <f t="shared" ref="X11" si="3">+X9</f>
        <v>puntos</v>
      </c>
    </row>
    <row r="12" spans="1:137" x14ac:dyDescent="0.25">
      <c r="B12" s="10"/>
      <c r="E12" s="18"/>
      <c r="I12" s="25"/>
      <c r="K12" s="30"/>
      <c r="P12" s="41"/>
      <c r="Q12" s="41"/>
      <c r="R12" s="41"/>
      <c r="S12" s="41"/>
      <c r="T12" s="41"/>
      <c r="U12" s="41"/>
    </row>
    <row r="13" spans="1:137" x14ac:dyDescent="0.25">
      <c r="B13" s="10"/>
      <c r="E13" s="18"/>
      <c r="I13" s="25"/>
      <c r="K13" s="30"/>
      <c r="O13" s="1" t="s">
        <v>39</v>
      </c>
      <c r="P13" s="41"/>
      <c r="Q13" s="41">
        <f>+Q6</f>
        <v>-281.25</v>
      </c>
      <c r="R13" s="41">
        <f t="shared" ref="R13:U14" si="4">+R6</f>
        <v>-281.25</v>
      </c>
      <c r="S13" s="41">
        <f t="shared" si="4"/>
        <v>-281.25</v>
      </c>
      <c r="T13" s="41">
        <f t="shared" si="4"/>
        <v>-281.25</v>
      </c>
      <c r="U13" s="41">
        <f t="shared" si="4"/>
        <v>-281.25</v>
      </c>
    </row>
    <row r="14" spans="1:137" x14ac:dyDescent="0.25">
      <c r="B14" s="10" t="s">
        <v>14</v>
      </c>
      <c r="C14" s="33">
        <v>281.25</v>
      </c>
      <c r="E14" s="18"/>
      <c r="I14" s="25"/>
      <c r="K14" s="30"/>
      <c r="O14" s="1" t="str">
        <f>+O7</f>
        <v>Utilidad por Venta Bus</v>
      </c>
      <c r="Q14" s="46">
        <f>+Q7</f>
        <v>0</v>
      </c>
      <c r="R14" s="46">
        <f t="shared" si="4"/>
        <v>0</v>
      </c>
      <c r="S14" s="46">
        <f t="shared" si="4"/>
        <v>0</v>
      </c>
      <c r="T14" s="46">
        <f t="shared" si="4"/>
        <v>0</v>
      </c>
      <c r="U14" s="46">
        <f t="shared" si="4"/>
        <v>-93.75</v>
      </c>
    </row>
    <row r="15" spans="1:137" x14ac:dyDescent="0.25">
      <c r="B15" s="16">
        <v>0.15</v>
      </c>
      <c r="C15" s="11" t="s">
        <v>10</v>
      </c>
      <c r="E15" s="18"/>
      <c r="I15" s="25"/>
      <c r="K15" s="30"/>
    </row>
    <row r="16" spans="1:137" s="3" customFormat="1" ht="15.75" thickBot="1" x14ac:dyDescent="0.3">
      <c r="B16" s="15" t="s">
        <v>7</v>
      </c>
      <c r="C16" s="63">
        <f>C14*0.15</f>
        <v>42.1875</v>
      </c>
      <c r="E16" s="23" t="s">
        <v>49</v>
      </c>
      <c r="G16" s="4">
        <f>C16</f>
        <v>42.1875</v>
      </c>
      <c r="I16" s="27">
        <f>+I8</f>
        <v>3.992710037078087</v>
      </c>
      <c r="K16" s="29">
        <f>G16*I16</f>
        <v>168.44245468923179</v>
      </c>
      <c r="L16" s="1"/>
      <c r="M16" s="1">
        <v>3</v>
      </c>
      <c r="N16" s="28"/>
      <c r="O16" s="3" t="s">
        <v>31</v>
      </c>
      <c r="Q16" s="43">
        <f>+Q11-Q13-Q14</f>
        <v>-17.3125</v>
      </c>
      <c r="R16" s="43">
        <f t="shared" ref="R16:U16" si="5">+R11-R13-R14</f>
        <v>-17.3125</v>
      </c>
      <c r="S16" s="43">
        <f t="shared" si="5"/>
        <v>-17.3125</v>
      </c>
      <c r="T16" s="43">
        <f t="shared" si="5"/>
        <v>-17.3125</v>
      </c>
      <c r="U16" s="43">
        <f t="shared" si="5"/>
        <v>-3.25</v>
      </c>
      <c r="W16" s="1">
        <v>4</v>
      </c>
      <c r="X16" s="1" t="str">
        <f>+X11</f>
        <v>puntos</v>
      </c>
      <c r="Y16" s="1"/>
      <c r="Z16" s="5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</row>
    <row r="17" spans="1:137" ht="15.75" thickTop="1" x14ac:dyDescent="0.25">
      <c r="B17" s="10"/>
      <c r="C17" s="12"/>
      <c r="E17" s="18"/>
      <c r="I17" s="32"/>
      <c r="K17" s="30"/>
    </row>
    <row r="18" spans="1:137" x14ac:dyDescent="0.25">
      <c r="B18" s="10" t="s">
        <v>15</v>
      </c>
      <c r="C18" s="12">
        <v>1000</v>
      </c>
      <c r="E18" s="18"/>
      <c r="I18" s="18"/>
      <c r="K18" s="30"/>
      <c r="O18" s="1" t="s">
        <v>20</v>
      </c>
      <c r="P18" s="41"/>
      <c r="Q18" s="41"/>
      <c r="R18" s="41"/>
      <c r="S18" s="41"/>
      <c r="T18" s="41"/>
      <c r="U18" s="41"/>
    </row>
    <row r="19" spans="1:137" x14ac:dyDescent="0.25">
      <c r="B19" s="10" t="s">
        <v>0</v>
      </c>
      <c r="E19" s="18"/>
      <c r="I19" s="18"/>
      <c r="K19" s="30"/>
      <c r="P19" s="41"/>
      <c r="Q19" s="41"/>
      <c r="R19" s="41"/>
      <c r="S19" s="41"/>
      <c r="T19" s="41"/>
      <c r="U19" s="41"/>
    </row>
    <row r="20" spans="1:137" s="3" customFormat="1" ht="15.75" thickBot="1" x14ac:dyDescent="0.3">
      <c r="B20" s="15" t="s">
        <v>8</v>
      </c>
      <c r="C20" s="22">
        <f>+C18</f>
        <v>1000</v>
      </c>
      <c r="E20" s="23" t="s">
        <v>50</v>
      </c>
      <c r="G20" s="4">
        <f>C20</f>
        <v>1000</v>
      </c>
      <c r="I20" s="23">
        <f>1/(1.08^5)</f>
        <v>0.68058319703375303</v>
      </c>
      <c r="K20" s="29">
        <f>I20*G20</f>
        <v>680.58319703375298</v>
      </c>
      <c r="L20" s="1"/>
      <c r="M20" s="1">
        <v>3</v>
      </c>
      <c r="N20" s="28"/>
      <c r="O20" s="1" t="s">
        <v>35</v>
      </c>
      <c r="P20" s="41">
        <v>-2500</v>
      </c>
      <c r="Q20" s="41"/>
      <c r="R20" s="41"/>
      <c r="S20" s="41"/>
      <c r="T20" s="41"/>
      <c r="U20" s="41"/>
      <c r="V20" s="1"/>
      <c r="W20" s="1">
        <v>1</v>
      </c>
      <c r="X20" s="1" t="s">
        <v>17</v>
      </c>
      <c r="Y20" s="1"/>
      <c r="Z20" s="5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</row>
    <row r="21" spans="1:137" ht="15.75" thickTop="1" x14ac:dyDescent="0.25">
      <c r="B21" s="10"/>
      <c r="E21" s="18"/>
      <c r="I21" s="18"/>
      <c r="K21" s="30"/>
      <c r="O21" s="1" t="s">
        <v>36</v>
      </c>
      <c r="P21" s="41"/>
      <c r="Q21" s="41"/>
      <c r="R21" s="41"/>
      <c r="S21" s="41"/>
      <c r="T21" s="41"/>
      <c r="U21" s="41">
        <v>1000</v>
      </c>
      <c r="W21" s="1">
        <v>1</v>
      </c>
      <c r="X21" s="1" t="s">
        <v>34</v>
      </c>
    </row>
    <row r="22" spans="1:137" x14ac:dyDescent="0.25">
      <c r="A22" s="35"/>
      <c r="B22" s="55" t="s">
        <v>18</v>
      </c>
      <c r="C22" s="62">
        <v>-93.75</v>
      </c>
      <c r="D22" s="57"/>
      <c r="E22" s="58"/>
      <c r="F22" s="57"/>
      <c r="G22" s="59"/>
      <c r="H22" s="57"/>
      <c r="I22" s="58"/>
      <c r="J22" s="57"/>
      <c r="K22" s="60"/>
      <c r="P22" s="41"/>
      <c r="Q22" s="41"/>
      <c r="R22" s="41"/>
      <c r="S22" s="41"/>
      <c r="T22" s="41"/>
      <c r="U22" s="41"/>
    </row>
    <row r="23" spans="1:137" ht="15.75" thickBot="1" x14ac:dyDescent="0.3">
      <c r="A23" s="35"/>
      <c r="B23" s="55"/>
      <c r="C23" s="62">
        <f>-C22*0.15</f>
        <v>14.0625</v>
      </c>
      <c r="D23" s="57"/>
      <c r="E23" s="58" t="s">
        <v>50</v>
      </c>
      <c r="F23" s="57"/>
      <c r="G23" s="59">
        <f>+C23</f>
        <v>14.0625</v>
      </c>
      <c r="H23" s="57"/>
      <c r="I23" s="58">
        <f>+I20</f>
        <v>0.68058319703375303</v>
      </c>
      <c r="J23" s="57"/>
      <c r="K23" s="60">
        <f>I23*G23</f>
        <v>9.5707012082871525</v>
      </c>
      <c r="M23" s="1">
        <v>3</v>
      </c>
      <c r="O23" s="44" t="s">
        <v>32</v>
      </c>
      <c r="P23" s="45">
        <f>+P20</f>
        <v>-2500</v>
      </c>
      <c r="Q23" s="45"/>
      <c r="R23" s="45"/>
      <c r="S23" s="45"/>
      <c r="T23" s="45"/>
      <c r="U23" s="45">
        <f>+U20+U21</f>
        <v>1000</v>
      </c>
    </row>
    <row r="24" spans="1:137" ht="15.75" thickTop="1" x14ac:dyDescent="0.25">
      <c r="B24" s="10"/>
      <c r="E24" s="18"/>
      <c r="I24" s="18"/>
      <c r="K24" s="30"/>
      <c r="P24" s="41"/>
      <c r="Q24" s="41"/>
      <c r="R24" s="41"/>
      <c r="S24" s="41"/>
      <c r="T24" s="41"/>
      <c r="U24" s="41"/>
    </row>
    <row r="25" spans="1:137" ht="15.75" thickBot="1" x14ac:dyDescent="0.3">
      <c r="B25" s="10"/>
      <c r="E25" s="18"/>
      <c r="I25" s="18"/>
      <c r="K25" s="30"/>
      <c r="O25" s="44" t="s">
        <v>21</v>
      </c>
      <c r="P25" s="45">
        <f>+P16+P23</f>
        <v>-2500</v>
      </c>
      <c r="Q25" s="45">
        <f>+Q16+Q23</f>
        <v>-17.3125</v>
      </c>
      <c r="R25" s="45">
        <f t="shared" ref="R25:T25" si="6">+R16+R23</f>
        <v>-17.3125</v>
      </c>
      <c r="S25" s="45">
        <f t="shared" si="6"/>
        <v>-17.3125</v>
      </c>
      <c r="T25" s="45">
        <f t="shared" si="6"/>
        <v>-17.3125</v>
      </c>
      <c r="U25" s="45">
        <f>+U16+U23</f>
        <v>996.75</v>
      </c>
    </row>
    <row r="26" spans="1:137" ht="15.75" thickTop="1" x14ac:dyDescent="0.25">
      <c r="B26" s="10"/>
      <c r="E26" s="18"/>
      <c r="I26" s="18"/>
      <c r="K26" s="30"/>
    </row>
    <row r="27" spans="1:137" ht="15.75" thickBot="1" x14ac:dyDescent="0.3">
      <c r="A27" s="3"/>
      <c r="B27" s="15"/>
      <c r="C27" s="26"/>
      <c r="D27" s="3"/>
      <c r="E27" s="23"/>
      <c r="F27" s="3"/>
      <c r="G27" s="4"/>
      <c r="H27" s="3"/>
      <c r="I27" s="23"/>
      <c r="J27" s="3"/>
      <c r="K27" s="29"/>
      <c r="O27" s="1" t="s">
        <v>33</v>
      </c>
      <c r="P27" s="46">
        <f>+P25</f>
        <v>-2500</v>
      </c>
      <c r="Q27" s="41">
        <f>+Q25/(1.08^1)</f>
        <v>-16.030092592592592</v>
      </c>
      <c r="R27" s="41">
        <f>+R25/(1.08^2)</f>
        <v>-14.842678326474621</v>
      </c>
      <c r="S27" s="41">
        <f>+S25/(1.08^3)</f>
        <v>-13.743220672661685</v>
      </c>
      <c r="T27" s="41">
        <f>+T25/(1.08^4)</f>
        <v>-12.725204326538597</v>
      </c>
      <c r="U27" s="41">
        <f>+U25/(1.08^5)</f>
        <v>678.37130164339328</v>
      </c>
    </row>
    <row r="28" spans="1:137" ht="15.75" thickTop="1" x14ac:dyDescent="0.25">
      <c r="B28" s="10"/>
      <c r="E28" s="18"/>
      <c r="I28" s="18"/>
      <c r="K28" s="30"/>
      <c r="P28" s="41">
        <f>SUM(P27:U27)</f>
        <v>-1878.9698942748739</v>
      </c>
      <c r="Q28" s="1" t="s">
        <v>41</v>
      </c>
      <c r="R28" s="41"/>
      <c r="S28" s="41"/>
      <c r="T28" s="41"/>
      <c r="U28" s="41"/>
    </row>
    <row r="29" spans="1:137" ht="15.75" thickBot="1" x14ac:dyDescent="0.3">
      <c r="A29" s="3"/>
      <c r="B29" s="15" t="s">
        <v>52</v>
      </c>
      <c r="C29" s="22">
        <v>-2500</v>
      </c>
      <c r="D29" s="3"/>
      <c r="E29" s="23" t="s">
        <v>57</v>
      </c>
      <c r="F29" s="3"/>
      <c r="G29" s="4">
        <f>+C29</f>
        <v>-2500</v>
      </c>
      <c r="H29" s="3"/>
      <c r="I29" s="23">
        <v>1</v>
      </c>
      <c r="J29" s="3"/>
      <c r="K29" s="29">
        <f>+I29*G29</f>
        <v>-2500</v>
      </c>
      <c r="M29" s="1">
        <v>3</v>
      </c>
      <c r="N29" s="31"/>
    </row>
    <row r="30" spans="1:137" ht="15.75" thickTop="1" x14ac:dyDescent="0.25">
      <c r="B30" s="10"/>
      <c r="C30" s="12"/>
      <c r="E30" s="18"/>
      <c r="I30" s="18"/>
      <c r="K30" s="30"/>
      <c r="Q30" s="1" t="s">
        <v>47</v>
      </c>
      <c r="W30" s="1">
        <f>SUM(W5:W21)</f>
        <v>15</v>
      </c>
    </row>
    <row r="31" spans="1:137" x14ac:dyDescent="0.25">
      <c r="B31" s="10"/>
      <c r="C31" s="12"/>
      <c r="E31" s="18"/>
      <c r="I31" s="25"/>
      <c r="K31" s="30"/>
    </row>
    <row r="32" spans="1:137" x14ac:dyDescent="0.25">
      <c r="B32" s="16"/>
      <c r="E32" s="18"/>
      <c r="I32" s="25"/>
      <c r="K32" s="30"/>
    </row>
    <row r="33" spans="2:137" ht="15.75" thickBot="1" x14ac:dyDescent="0.3">
      <c r="B33" s="15"/>
      <c r="C33" s="22"/>
      <c r="D33" s="3"/>
      <c r="E33" s="23"/>
      <c r="F33" s="3"/>
      <c r="G33" s="4"/>
      <c r="H33" s="3"/>
      <c r="I33" s="27"/>
      <c r="J33" s="3"/>
      <c r="K33" s="29"/>
    </row>
    <row r="34" spans="2:137" ht="15.75" thickTop="1" x14ac:dyDescent="0.25">
      <c r="B34" s="10"/>
      <c r="E34" s="19"/>
      <c r="I34" s="19"/>
      <c r="K34" s="30"/>
    </row>
    <row r="35" spans="2:137" s="3" customFormat="1" ht="15.75" thickBot="1" x14ac:dyDescent="0.3">
      <c r="B35" s="15" t="s">
        <v>9</v>
      </c>
      <c r="C35" s="26"/>
      <c r="E35" s="20"/>
      <c r="G35" s="4"/>
      <c r="I35" s="20"/>
      <c r="K35" s="29">
        <f>+K10+K16+K20+K27+K29+K33+K23</f>
        <v>-1878.9698942748742</v>
      </c>
      <c r="L35" s="1"/>
      <c r="M35" s="1">
        <f>SUM(M7:M33)</f>
        <v>15</v>
      </c>
      <c r="N35" s="28" t="s">
        <v>17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50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</row>
    <row r="36" spans="2:137" ht="15.75" thickTop="1" x14ac:dyDescent="0.25"/>
  </sheetData>
  <mergeCells count="2">
    <mergeCell ref="B1:K1"/>
    <mergeCell ref="B2:K2"/>
  </mergeCells>
  <pageMargins left="0.7" right="0.7" top="0.75" bottom="0.75" header="0.3" footer="0.3"/>
  <pageSetup orientation="portrait" r:id="rId1"/>
  <ignoredErrors>
    <ignoredError sqref="X1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DACA-3CDD-4AC6-B4E6-23AB3714EC25}">
  <dimension ref="A1:EG39"/>
  <sheetViews>
    <sheetView zoomScale="80" zoomScaleNormal="80" workbookViewId="0">
      <selection activeCell="M29" sqref="M29"/>
    </sheetView>
  </sheetViews>
  <sheetFormatPr baseColWidth="10" defaultColWidth="11.42578125" defaultRowHeight="15" x14ac:dyDescent="0.25"/>
  <cols>
    <col min="1" max="1" width="1.42578125" style="1" customWidth="1"/>
    <col min="2" max="2" width="49.5703125" style="1" customWidth="1"/>
    <col min="3" max="3" width="11.5703125" style="11" customWidth="1"/>
    <col min="4" max="4" width="3.42578125" style="1" customWidth="1"/>
    <col min="5" max="5" width="18.140625" style="1" customWidth="1"/>
    <col min="6" max="6" width="3" style="1" customWidth="1"/>
    <col min="7" max="7" width="12.5703125" style="2" customWidth="1"/>
    <col min="8" max="8" width="2.85546875" style="1" customWidth="1"/>
    <col min="9" max="9" width="10.42578125" style="1" customWidth="1"/>
    <col min="10" max="10" width="3.28515625" style="1" customWidth="1"/>
    <col min="11" max="11" width="12.28515625" style="2" customWidth="1"/>
    <col min="12" max="12" width="2.5703125" style="1" customWidth="1"/>
    <col min="13" max="13" width="3.85546875" style="1" customWidth="1"/>
    <col min="14" max="14" width="4.140625" style="28" customWidth="1"/>
    <col min="15" max="15" width="51.140625" style="1" bestFit="1" customWidth="1"/>
    <col min="16" max="21" width="11.42578125" style="1"/>
    <col min="22" max="22" width="3.42578125" style="1" bestFit="1" customWidth="1"/>
    <col min="23" max="23" width="2.28515625" style="1" bestFit="1" customWidth="1"/>
    <col min="24" max="16384" width="11.42578125" style="1"/>
  </cols>
  <sheetData>
    <row r="1" spans="1:137" x14ac:dyDescent="0.25">
      <c r="B1" s="52"/>
      <c r="C1" s="52"/>
      <c r="D1" s="52"/>
      <c r="E1" s="52"/>
      <c r="F1" s="52"/>
      <c r="G1" s="52"/>
      <c r="H1" s="52"/>
      <c r="I1" s="52"/>
      <c r="J1" s="52"/>
      <c r="K1" s="52"/>
      <c r="M1" s="35"/>
    </row>
    <row r="2" spans="1:137" ht="15.75" thickBot="1" x14ac:dyDescent="0.3">
      <c r="B2" s="52"/>
      <c r="C2" s="52"/>
      <c r="D2" s="52"/>
      <c r="E2" s="52"/>
      <c r="F2" s="52"/>
      <c r="G2" s="52"/>
      <c r="H2" s="52"/>
      <c r="I2" s="52"/>
      <c r="J2" s="52"/>
      <c r="K2" s="52"/>
      <c r="P2" s="11" t="s">
        <v>22</v>
      </c>
      <c r="Q2" s="11" t="s">
        <v>23</v>
      </c>
      <c r="R2" s="11" t="s">
        <v>24</v>
      </c>
      <c r="S2" s="11" t="s">
        <v>25</v>
      </c>
      <c r="T2" s="11" t="s">
        <v>26</v>
      </c>
      <c r="U2" s="11" t="s">
        <v>27</v>
      </c>
    </row>
    <row r="3" spans="1:137" x14ac:dyDescent="0.25">
      <c r="B3" s="5"/>
      <c r="C3" s="7"/>
      <c r="D3" s="6"/>
      <c r="E3" s="17" t="s">
        <v>1</v>
      </c>
      <c r="F3" s="7"/>
      <c r="G3" s="8" t="s">
        <v>3</v>
      </c>
      <c r="H3" s="7"/>
      <c r="I3" s="17" t="s">
        <v>4</v>
      </c>
      <c r="J3" s="7"/>
      <c r="K3" s="9" t="s">
        <v>6</v>
      </c>
      <c r="O3" s="1" t="s">
        <v>19</v>
      </c>
      <c r="P3" s="41"/>
      <c r="Q3" s="41"/>
      <c r="R3" s="41"/>
      <c r="S3" s="41"/>
      <c r="T3" s="41"/>
      <c r="U3" s="41"/>
    </row>
    <row r="4" spans="1:137" x14ac:dyDescent="0.25">
      <c r="B4" s="10"/>
      <c r="C4" s="12"/>
      <c r="E4" s="18" t="s">
        <v>2</v>
      </c>
      <c r="F4" s="11"/>
      <c r="G4" s="12" t="s">
        <v>2</v>
      </c>
      <c r="H4" s="11"/>
      <c r="I4" s="18" t="s">
        <v>5</v>
      </c>
      <c r="J4" s="11"/>
      <c r="K4" s="13" t="s">
        <v>2</v>
      </c>
      <c r="P4" s="41"/>
      <c r="Q4" s="41"/>
      <c r="R4" s="41"/>
      <c r="S4" s="41"/>
      <c r="T4" s="41"/>
      <c r="U4" s="41"/>
    </row>
    <row r="5" spans="1:137" x14ac:dyDescent="0.25">
      <c r="B5" s="10"/>
      <c r="E5" s="19"/>
      <c r="H5" s="11"/>
      <c r="I5" s="21" t="s">
        <v>12</v>
      </c>
      <c r="J5" s="11"/>
      <c r="K5" s="13"/>
      <c r="O5" s="1" t="s">
        <v>37</v>
      </c>
      <c r="P5" s="41"/>
      <c r="Q5" s="41">
        <v>-70</v>
      </c>
      <c r="R5" s="41">
        <f>+Q5</f>
        <v>-70</v>
      </c>
      <c r="S5" s="41">
        <f>+R5</f>
        <v>-70</v>
      </c>
      <c r="T5" s="41">
        <f t="shared" ref="T5:U5" si="0">+S5</f>
        <v>-70</v>
      </c>
      <c r="U5" s="41">
        <f t="shared" si="0"/>
        <v>-70</v>
      </c>
      <c r="W5" s="1">
        <v>1</v>
      </c>
      <c r="X5" s="1" t="s">
        <v>17</v>
      </c>
    </row>
    <row r="6" spans="1:137" x14ac:dyDescent="0.25">
      <c r="B6" s="10" t="s">
        <v>0</v>
      </c>
      <c r="C6" s="11" t="s">
        <v>58</v>
      </c>
      <c r="E6" s="19"/>
      <c r="I6" s="19"/>
      <c r="K6" s="14"/>
      <c r="O6" s="1" t="s">
        <v>38</v>
      </c>
      <c r="P6" s="41"/>
      <c r="Q6" s="47">
        <f>(P20*0.9)/8</f>
        <v>-281.25</v>
      </c>
      <c r="R6" s="42">
        <f>+Q6</f>
        <v>-281.25</v>
      </c>
      <c r="S6" s="41">
        <f>+R6</f>
        <v>-281.25</v>
      </c>
      <c r="T6" s="41">
        <f>+S6</f>
        <v>-281.25</v>
      </c>
      <c r="U6" s="41">
        <f>+T6</f>
        <v>-281.25</v>
      </c>
      <c r="W6" s="1">
        <v>1</v>
      </c>
      <c r="X6" s="1" t="s">
        <v>17</v>
      </c>
      <c r="AA6" s="46">
        <f>-P20</f>
        <v>2500</v>
      </c>
      <c r="AB6" s="1" t="s">
        <v>42</v>
      </c>
    </row>
    <row r="7" spans="1:137" x14ac:dyDescent="0.25">
      <c r="B7" s="10"/>
      <c r="E7" s="18"/>
      <c r="I7" s="25"/>
      <c r="K7" s="30"/>
      <c r="O7" s="1" t="s">
        <v>40</v>
      </c>
      <c r="P7" s="41"/>
      <c r="Q7" s="41"/>
      <c r="R7" s="41"/>
      <c r="S7" s="41"/>
      <c r="T7" s="41"/>
      <c r="U7" s="41"/>
      <c r="AA7" s="34">
        <f>SUM(Q6:U6)</f>
        <v>-1406.25</v>
      </c>
      <c r="AB7" s="1" t="s">
        <v>11</v>
      </c>
    </row>
    <row r="8" spans="1:137" x14ac:dyDescent="0.25">
      <c r="B8" s="10"/>
      <c r="C8" s="33">
        <f>-70*0.85</f>
        <v>-59.5</v>
      </c>
      <c r="E8" s="18" t="s">
        <v>49</v>
      </c>
      <c r="G8" s="34">
        <f>+C8</f>
        <v>-59.5</v>
      </c>
      <c r="I8" s="25">
        <f>+'Opción Corea (1)'!I8</f>
        <v>3.992710037078087</v>
      </c>
      <c r="K8" s="30">
        <f>+I8*G8</f>
        <v>-237.56624720614619</v>
      </c>
      <c r="P8" s="41"/>
      <c r="Q8" s="41"/>
      <c r="R8" s="41"/>
      <c r="S8" s="41"/>
      <c r="T8" s="41"/>
      <c r="U8" s="41"/>
      <c r="AA8" s="48">
        <f>+AA6+AA7</f>
        <v>1093.75</v>
      </c>
      <c r="AB8" s="1" t="s">
        <v>43</v>
      </c>
    </row>
    <row r="9" spans="1:137" x14ac:dyDescent="0.25">
      <c r="B9" s="10"/>
      <c r="E9" s="18"/>
      <c r="I9" s="25"/>
      <c r="K9" s="30"/>
      <c r="O9" s="1" t="s">
        <v>28</v>
      </c>
      <c r="P9" s="41"/>
      <c r="Q9" s="41">
        <f>SUM(Q5:Q7)</f>
        <v>-351.25</v>
      </c>
      <c r="R9" s="41">
        <f>SUM(R5:R7)</f>
        <v>-351.25</v>
      </c>
      <c r="S9" s="41">
        <f>SUM(S5:S7)</f>
        <v>-351.25</v>
      </c>
      <c r="T9" s="41">
        <f>SUM(T5:T7)</f>
        <v>-351.25</v>
      </c>
      <c r="U9" s="41">
        <f>SUM(U5:U7)</f>
        <v>-351.25</v>
      </c>
      <c r="W9" s="1">
        <v>1</v>
      </c>
      <c r="X9" s="1" t="str">
        <f>+X6</f>
        <v>puntos</v>
      </c>
      <c r="AA9" s="49">
        <v>1000</v>
      </c>
      <c r="AB9" s="1" t="s">
        <v>44</v>
      </c>
    </row>
    <row r="10" spans="1:137" ht="15.75" thickBot="1" x14ac:dyDescent="0.3">
      <c r="A10" s="3"/>
      <c r="B10" s="15" t="s">
        <v>16</v>
      </c>
      <c r="C10" s="26"/>
      <c r="D10" s="3"/>
      <c r="E10" s="23"/>
      <c r="F10" s="3"/>
      <c r="G10" s="4"/>
      <c r="H10" s="3"/>
      <c r="I10" s="24"/>
      <c r="J10" s="3"/>
      <c r="K10" s="29">
        <f>SUM(K8:K9)</f>
        <v>-237.56624720614619</v>
      </c>
      <c r="M10" s="1">
        <v>4</v>
      </c>
      <c r="O10" s="1" t="s">
        <v>29</v>
      </c>
      <c r="P10" s="41"/>
      <c r="Q10" s="41">
        <f>+Q9*0.15</f>
        <v>-52.6875</v>
      </c>
      <c r="R10" s="41">
        <f t="shared" ref="R10:U10" si="1">+R9*0.15</f>
        <v>-52.6875</v>
      </c>
      <c r="S10" s="41">
        <f t="shared" si="1"/>
        <v>-52.6875</v>
      </c>
      <c r="T10" s="41">
        <f t="shared" si="1"/>
        <v>-52.6875</v>
      </c>
      <c r="U10" s="41">
        <f t="shared" si="1"/>
        <v>-52.6875</v>
      </c>
      <c r="W10" s="1">
        <v>2</v>
      </c>
      <c r="X10" s="1" t="str">
        <f>+X9</f>
        <v>puntos</v>
      </c>
      <c r="AA10" s="48">
        <f>+AA9-AA8</f>
        <v>-93.75</v>
      </c>
      <c r="AB10" s="1" t="s">
        <v>45</v>
      </c>
    </row>
    <row r="11" spans="1:137" ht="15.75" thickTop="1" x14ac:dyDescent="0.25">
      <c r="B11" s="10"/>
      <c r="E11" s="18"/>
      <c r="I11" s="25"/>
      <c r="K11" s="30"/>
      <c r="O11" s="1" t="s">
        <v>30</v>
      </c>
      <c r="P11" s="41"/>
      <c r="Q11" s="41">
        <f>+Q9-Q10</f>
        <v>-298.5625</v>
      </c>
      <c r="R11" s="41">
        <f t="shared" ref="R11:U11" si="2">+R9-R10</f>
        <v>-298.5625</v>
      </c>
      <c r="S11" s="41">
        <f t="shared" si="2"/>
        <v>-298.5625</v>
      </c>
      <c r="T11" s="41">
        <f>+T9-T10</f>
        <v>-298.5625</v>
      </c>
      <c r="U11" s="41">
        <f t="shared" si="2"/>
        <v>-298.5625</v>
      </c>
      <c r="W11" s="1">
        <v>2</v>
      </c>
      <c r="X11" s="1" t="str">
        <f t="shared" ref="X11" si="3">+X9</f>
        <v>puntos</v>
      </c>
    </row>
    <row r="12" spans="1:137" x14ac:dyDescent="0.25">
      <c r="B12" s="10"/>
      <c r="E12" s="18"/>
      <c r="I12" s="25"/>
      <c r="K12" s="30"/>
      <c r="P12" s="41"/>
      <c r="Q12" s="41"/>
      <c r="R12" s="41"/>
      <c r="S12" s="41"/>
      <c r="T12" s="41"/>
      <c r="U12" s="41"/>
    </row>
    <row r="13" spans="1:137" x14ac:dyDescent="0.25">
      <c r="B13" s="10"/>
      <c r="E13" s="18"/>
      <c r="I13" s="25"/>
      <c r="K13" s="30"/>
      <c r="O13" s="1" t="s">
        <v>39</v>
      </c>
      <c r="P13" s="41"/>
      <c r="Q13" s="41">
        <f>+Q6</f>
        <v>-281.25</v>
      </c>
      <c r="R13" s="41">
        <f t="shared" ref="R13:U14" si="4">+R6</f>
        <v>-281.25</v>
      </c>
      <c r="S13" s="41">
        <f t="shared" si="4"/>
        <v>-281.25</v>
      </c>
      <c r="T13" s="41">
        <f t="shared" si="4"/>
        <v>-281.25</v>
      </c>
      <c r="U13" s="41">
        <f t="shared" si="4"/>
        <v>-281.25</v>
      </c>
    </row>
    <row r="14" spans="1:137" x14ac:dyDescent="0.25">
      <c r="B14" s="10" t="s">
        <v>14</v>
      </c>
      <c r="C14" s="12">
        <v>281.25</v>
      </c>
      <c r="E14" s="18"/>
      <c r="I14" s="25"/>
      <c r="K14" s="30"/>
      <c r="O14" s="1" t="str">
        <f>+O7</f>
        <v>Utilidad por Venta Bus</v>
      </c>
      <c r="Q14" s="46">
        <f>+Q7</f>
        <v>0</v>
      </c>
      <c r="R14" s="46">
        <f t="shared" si="4"/>
        <v>0</v>
      </c>
      <c r="S14" s="46">
        <f t="shared" si="4"/>
        <v>0</v>
      </c>
      <c r="T14" s="46">
        <f t="shared" si="4"/>
        <v>0</v>
      </c>
      <c r="U14" s="46">
        <f t="shared" si="4"/>
        <v>0</v>
      </c>
    </row>
    <row r="15" spans="1:137" x14ac:dyDescent="0.25">
      <c r="B15" s="16">
        <v>0.15</v>
      </c>
      <c r="C15" s="11" t="s">
        <v>10</v>
      </c>
      <c r="E15" s="18"/>
      <c r="I15" s="25"/>
      <c r="K15" s="30"/>
    </row>
    <row r="16" spans="1:137" s="3" customFormat="1" ht="15.75" thickBot="1" x14ac:dyDescent="0.3">
      <c r="B16" s="15" t="s">
        <v>7</v>
      </c>
      <c r="C16" s="63">
        <f>C14*0.15</f>
        <v>42.1875</v>
      </c>
      <c r="E16" s="23" t="s">
        <v>49</v>
      </c>
      <c r="G16" s="4">
        <f>C16</f>
        <v>42.1875</v>
      </c>
      <c r="I16" s="27">
        <f>+'Opción Corea (1)'!I16</f>
        <v>3.992710037078087</v>
      </c>
      <c r="K16" s="29">
        <f>G16*I16</f>
        <v>168.44245468923179</v>
      </c>
      <c r="L16" s="1"/>
      <c r="M16" s="1">
        <v>4</v>
      </c>
      <c r="N16" s="28"/>
      <c r="O16" s="3" t="s">
        <v>31</v>
      </c>
      <c r="Q16" s="43">
        <f>+Q11-Q13-Q14</f>
        <v>-17.3125</v>
      </c>
      <c r="R16" s="43">
        <f t="shared" ref="R16:U16" si="5">+R11-R13-R14</f>
        <v>-17.3125</v>
      </c>
      <c r="S16" s="43">
        <f t="shared" si="5"/>
        <v>-17.3125</v>
      </c>
      <c r="T16" s="43">
        <f t="shared" si="5"/>
        <v>-17.3125</v>
      </c>
      <c r="U16" s="43">
        <f t="shared" si="5"/>
        <v>-17.3125</v>
      </c>
      <c r="W16" s="1">
        <v>4</v>
      </c>
      <c r="X16" s="1" t="str">
        <f>+X11</f>
        <v>puntos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</row>
    <row r="17" spans="1:137" ht="15.75" thickTop="1" x14ac:dyDescent="0.25">
      <c r="B17" s="10"/>
      <c r="C17" s="12"/>
      <c r="E17" s="18"/>
      <c r="I17" s="32"/>
      <c r="K17" s="30"/>
    </row>
    <row r="18" spans="1:137" x14ac:dyDescent="0.25">
      <c r="B18" s="10" t="s">
        <v>15</v>
      </c>
      <c r="C18" s="12">
        <f>1000+14.06</f>
        <v>1014.06</v>
      </c>
      <c r="E18" s="18"/>
      <c r="I18" s="18"/>
      <c r="K18" s="30"/>
      <c r="O18" s="1" t="s">
        <v>20</v>
      </c>
      <c r="P18" s="41"/>
      <c r="Q18" s="41"/>
      <c r="R18" s="41"/>
      <c r="S18" s="41"/>
      <c r="T18" s="41"/>
      <c r="U18" s="41"/>
    </row>
    <row r="19" spans="1:137" x14ac:dyDescent="0.25">
      <c r="B19" s="10" t="s">
        <v>0</v>
      </c>
      <c r="E19" s="18"/>
      <c r="I19" s="18"/>
      <c r="K19" s="30"/>
      <c r="P19" s="41"/>
      <c r="Q19" s="41"/>
      <c r="R19" s="41"/>
      <c r="S19" s="41"/>
      <c r="T19" s="41"/>
      <c r="U19" s="41"/>
    </row>
    <row r="20" spans="1:137" s="3" customFormat="1" ht="15.75" thickBot="1" x14ac:dyDescent="0.3">
      <c r="B20" s="15" t="s">
        <v>8</v>
      </c>
      <c r="C20" s="22">
        <f>+C18</f>
        <v>1014.06</v>
      </c>
      <c r="E20" s="23" t="s">
        <v>50</v>
      </c>
      <c r="G20" s="4">
        <f>C20</f>
        <v>1014.06</v>
      </c>
      <c r="I20" s="23">
        <f>+'Opción Corea (1)'!I20</f>
        <v>0.68058319703375303</v>
      </c>
      <c r="K20" s="29">
        <f>I20*G20</f>
        <v>690.15219678404753</v>
      </c>
      <c r="L20" s="1"/>
      <c r="M20" s="1">
        <v>4</v>
      </c>
      <c r="N20" s="28"/>
      <c r="O20" s="1" t="s">
        <v>35</v>
      </c>
      <c r="P20" s="41">
        <v>-2500</v>
      </c>
      <c r="Q20" s="41"/>
      <c r="R20" s="41"/>
      <c r="S20" s="41"/>
      <c r="T20" s="41"/>
      <c r="U20" s="41"/>
      <c r="V20" s="1"/>
      <c r="W20" s="1">
        <v>1</v>
      </c>
      <c r="X20" s="1" t="s">
        <v>17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</row>
    <row r="21" spans="1:137" ht="15.75" thickTop="1" x14ac:dyDescent="0.25">
      <c r="B21" s="10"/>
      <c r="E21" s="18"/>
      <c r="I21" s="18"/>
      <c r="K21" s="30"/>
      <c r="O21" s="1" t="s">
        <v>36</v>
      </c>
      <c r="P21" s="41"/>
      <c r="Q21" s="41"/>
      <c r="R21" s="41"/>
      <c r="S21" s="41"/>
      <c r="T21" s="41"/>
      <c r="U21" s="41">
        <f>1000+(-AA10*0.15)</f>
        <v>1014.0625</v>
      </c>
      <c r="W21" s="1">
        <v>3</v>
      </c>
      <c r="X21" s="1" t="s">
        <v>34</v>
      </c>
    </row>
    <row r="22" spans="1:137" x14ac:dyDescent="0.25">
      <c r="A22" s="35"/>
      <c r="B22" s="36"/>
      <c r="C22" s="40"/>
      <c r="D22" s="35"/>
      <c r="E22" s="37"/>
      <c r="F22" s="35"/>
      <c r="G22" s="38"/>
      <c r="H22" s="35"/>
      <c r="I22" s="37"/>
      <c r="J22" s="35"/>
      <c r="K22" s="39"/>
      <c r="P22" s="41"/>
      <c r="Q22" s="41"/>
      <c r="R22" s="41"/>
      <c r="S22" s="41"/>
      <c r="T22" s="41"/>
      <c r="U22" s="41"/>
    </row>
    <row r="23" spans="1:137" ht="15.75" thickBot="1" x14ac:dyDescent="0.3">
      <c r="A23" s="35"/>
      <c r="B23" s="36"/>
      <c r="C23" s="40"/>
      <c r="D23" s="35"/>
      <c r="E23" s="37"/>
      <c r="F23" s="35"/>
      <c r="G23" s="38"/>
      <c r="H23" s="35"/>
      <c r="I23" s="37"/>
      <c r="J23" s="35"/>
      <c r="K23" s="39"/>
      <c r="O23" s="44" t="s">
        <v>32</v>
      </c>
      <c r="P23" s="45">
        <f>+P20</f>
        <v>-2500</v>
      </c>
      <c r="Q23" s="45"/>
      <c r="R23" s="45"/>
      <c r="S23" s="45"/>
      <c r="T23" s="45"/>
      <c r="U23" s="45">
        <f>+U20+U21</f>
        <v>1014.0625</v>
      </c>
    </row>
    <row r="24" spans="1:137" ht="15.75" thickTop="1" x14ac:dyDescent="0.25">
      <c r="B24" s="10"/>
      <c r="E24" s="18"/>
      <c r="I24" s="18"/>
      <c r="K24" s="30"/>
      <c r="P24" s="41"/>
      <c r="Q24" s="41"/>
      <c r="R24" s="41"/>
      <c r="S24" s="41"/>
      <c r="T24" s="41"/>
      <c r="U24" s="41"/>
    </row>
    <row r="25" spans="1:137" ht="15.75" thickBot="1" x14ac:dyDescent="0.3">
      <c r="B25" s="10"/>
      <c r="E25" s="18"/>
      <c r="I25" s="18"/>
      <c r="K25" s="30"/>
      <c r="O25" s="44" t="s">
        <v>21</v>
      </c>
      <c r="P25" s="45">
        <f>+P16+P23</f>
        <v>-2500</v>
      </c>
      <c r="Q25" s="45">
        <f>+Q16+Q23</f>
        <v>-17.3125</v>
      </c>
      <c r="R25" s="45">
        <f t="shared" ref="R25:T25" si="6">+R16+R23</f>
        <v>-17.3125</v>
      </c>
      <c r="S25" s="45">
        <f t="shared" si="6"/>
        <v>-17.3125</v>
      </c>
      <c r="T25" s="45">
        <f t="shared" si="6"/>
        <v>-17.3125</v>
      </c>
      <c r="U25" s="45">
        <f>+U16+U23</f>
        <v>996.75</v>
      </c>
    </row>
    <row r="26" spans="1:137" ht="15.75" thickTop="1" x14ac:dyDescent="0.25">
      <c r="B26" s="10"/>
      <c r="E26" s="18"/>
      <c r="I26" s="18"/>
      <c r="K26" s="30"/>
    </row>
    <row r="27" spans="1:137" ht="15.75" thickBot="1" x14ac:dyDescent="0.3">
      <c r="A27" s="3"/>
      <c r="B27" s="15"/>
      <c r="C27" s="26"/>
      <c r="D27" s="3"/>
      <c r="E27" s="23"/>
      <c r="F27" s="3"/>
      <c r="G27" s="4"/>
      <c r="H27" s="3"/>
      <c r="I27" s="23"/>
      <c r="J27" s="3"/>
      <c r="K27" s="29"/>
      <c r="O27" s="1" t="s">
        <v>33</v>
      </c>
      <c r="P27" s="46">
        <f>+P25</f>
        <v>-2500</v>
      </c>
      <c r="Q27" s="41">
        <f>+Q25/(1.08^1)</f>
        <v>-16.030092592592592</v>
      </c>
      <c r="R27" s="41">
        <f>+R25/(1.08^2)</f>
        <v>-14.842678326474621</v>
      </c>
      <c r="S27" s="41">
        <f>+S25/(1.08^3)</f>
        <v>-13.743220672661685</v>
      </c>
      <c r="T27" s="41">
        <f>+T25/(1.08^4)</f>
        <v>-12.725204326538597</v>
      </c>
      <c r="U27" s="41">
        <f>+U25/(1.08^5)</f>
        <v>678.37130164339328</v>
      </c>
    </row>
    <row r="28" spans="1:137" ht="15.75" thickTop="1" x14ac:dyDescent="0.25">
      <c r="B28" s="10"/>
      <c r="E28" s="18"/>
      <c r="I28" s="18"/>
      <c r="K28" s="30"/>
      <c r="P28" s="41">
        <f>SUM(P27:U27)</f>
        <v>-1878.9698942748739</v>
      </c>
      <c r="Q28" s="1" t="s">
        <v>41</v>
      </c>
      <c r="R28" s="41"/>
      <c r="S28" s="41"/>
      <c r="T28" s="41"/>
      <c r="U28" s="41"/>
    </row>
    <row r="29" spans="1:137" ht="15.75" thickBot="1" x14ac:dyDescent="0.3">
      <c r="A29" s="3"/>
      <c r="B29" s="15" t="s">
        <v>52</v>
      </c>
      <c r="C29" s="22">
        <v>-2500</v>
      </c>
      <c r="D29" s="3"/>
      <c r="E29" s="23" t="s">
        <v>53</v>
      </c>
      <c r="F29" s="3"/>
      <c r="G29" s="4">
        <f>+C29</f>
        <v>-2500</v>
      </c>
      <c r="H29" s="3"/>
      <c r="I29" s="23">
        <v>1</v>
      </c>
      <c r="J29" s="3"/>
      <c r="K29" s="29">
        <f>+I29*G29</f>
        <v>-2500</v>
      </c>
      <c r="M29" s="1">
        <v>3</v>
      </c>
      <c r="N29" s="31"/>
    </row>
    <row r="30" spans="1:137" ht="15.75" thickTop="1" x14ac:dyDescent="0.25">
      <c r="B30" s="10"/>
      <c r="C30" s="12"/>
      <c r="E30" s="18"/>
      <c r="I30" s="18"/>
      <c r="K30" s="30"/>
      <c r="Q30" s="1" t="s">
        <v>47</v>
      </c>
      <c r="V30" s="1">
        <f>SUM(W5:W21)</f>
        <v>15</v>
      </c>
    </row>
    <row r="31" spans="1:137" x14ac:dyDescent="0.25">
      <c r="B31" s="10"/>
      <c r="C31" s="12"/>
      <c r="E31" s="18"/>
      <c r="I31" s="25"/>
      <c r="K31" s="30"/>
    </row>
    <row r="32" spans="1:137" x14ac:dyDescent="0.25">
      <c r="B32" s="16"/>
      <c r="E32" s="18"/>
      <c r="I32" s="25"/>
      <c r="K32" s="30"/>
    </row>
    <row r="33" spans="2:137" ht="15.75" thickBot="1" x14ac:dyDescent="0.3">
      <c r="B33" s="15"/>
      <c r="C33" s="22"/>
      <c r="D33" s="3"/>
      <c r="E33" s="23"/>
      <c r="F33" s="3"/>
      <c r="G33" s="4"/>
      <c r="H33" s="3"/>
      <c r="I33" s="27"/>
      <c r="J33" s="3"/>
      <c r="K33" s="29"/>
    </row>
    <row r="34" spans="2:137" ht="15.75" thickTop="1" x14ac:dyDescent="0.25">
      <c r="B34" s="10"/>
      <c r="E34" s="19"/>
      <c r="I34" s="19"/>
      <c r="K34" s="30"/>
    </row>
    <row r="35" spans="2:137" s="3" customFormat="1" ht="15.75" thickBot="1" x14ac:dyDescent="0.3">
      <c r="B35" s="15" t="s">
        <v>9</v>
      </c>
      <c r="C35" s="26"/>
      <c r="E35" s="20"/>
      <c r="G35" s="4"/>
      <c r="I35" s="20"/>
      <c r="K35" s="29">
        <f>+K10+K16+K20+K27+K29+K33+K23</f>
        <v>-1878.9715957328667</v>
      </c>
      <c r="L35" s="1"/>
      <c r="M35" s="1">
        <f>SUM(M7:M33)</f>
        <v>15</v>
      </c>
      <c r="N35" s="28" t="s">
        <v>17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</row>
    <row r="36" spans="2:137" ht="15.75" thickTop="1" x14ac:dyDescent="0.25"/>
    <row r="37" spans="2:137" x14ac:dyDescent="0.25">
      <c r="K37" s="34">
        <f>+P28</f>
        <v>-1878.9698942748739</v>
      </c>
    </row>
    <row r="38" spans="2:137" x14ac:dyDescent="0.25">
      <c r="K38" s="34"/>
    </row>
    <row r="39" spans="2:137" x14ac:dyDescent="0.25">
      <c r="K39" s="34">
        <f>+K35-K37</f>
        <v>-1.7014579927945306E-3</v>
      </c>
    </row>
  </sheetData>
  <mergeCells count="2">
    <mergeCell ref="B1:K1"/>
    <mergeCell ref="B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Opción Chino (1)</vt:lpstr>
      <vt:lpstr>Opción Chino (2)</vt:lpstr>
      <vt:lpstr>Opción Corea (1)</vt:lpstr>
      <vt:lpstr>Opción Corea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Cabrera</dc:creator>
  <cp:lastModifiedBy>Andres Cabrera</cp:lastModifiedBy>
  <dcterms:created xsi:type="dcterms:W3CDTF">2010-11-21T02:25:23Z</dcterms:created>
  <dcterms:modified xsi:type="dcterms:W3CDTF">2023-11-06T14:48:04Z</dcterms:modified>
</cp:coreProperties>
</file>