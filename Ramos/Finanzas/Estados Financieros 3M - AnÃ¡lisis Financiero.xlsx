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ropbox\Universidad\UAI\Finanzas\2024 - 1\Láminas Clases\"/>
    </mc:Choice>
  </mc:AlternateContent>
  <xr:revisionPtr revIDLastSave="0" documentId="8_{037D120E-36BB-439F-9D07-8D984C1AE0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E.RR" sheetId="4" r:id="rId1"/>
    <sheet name="EE.RR Vertical" sheetId="8" r:id="rId2"/>
    <sheet name="EE.RR Horizontal" sheetId="9" r:id="rId3"/>
    <sheet name="Balance" sheetId="1" r:id="rId4"/>
    <sheet name="Balance Vertical" sheetId="6" r:id="rId5"/>
    <sheet name="Balance Horizontal" sheetId="7" r:id="rId6"/>
    <sheet name="Ratios" sheetId="10" r:id="rId7"/>
    <sheet name="Du Pont" sheetId="11" r:id="rId8"/>
  </sheets>
  <calcPr calcId="191029"/>
</workbook>
</file>

<file path=xl/calcChain.xml><?xml version="1.0" encoding="utf-8"?>
<calcChain xmlns="http://schemas.openxmlformats.org/spreadsheetml/2006/main">
  <c r="E69" i="10" l="1"/>
  <c r="E65" i="10"/>
  <c r="C65" i="10"/>
  <c r="E62" i="10"/>
  <c r="E48" i="10"/>
  <c r="C48" i="10"/>
  <c r="E41" i="10"/>
  <c r="C41" i="10"/>
  <c r="E32" i="10"/>
  <c r="E34" i="10" s="1"/>
  <c r="C32" i="10"/>
  <c r="C34" i="10" s="1"/>
  <c r="E28" i="10"/>
  <c r="C28" i="10"/>
  <c r="E14" i="10"/>
  <c r="E17" i="10" s="1"/>
  <c r="E22" i="10" s="1"/>
  <c r="E25" i="10" s="1"/>
  <c r="C14" i="10"/>
  <c r="C20" i="10" s="1"/>
  <c r="F9" i="9"/>
  <c r="F12" i="9"/>
  <c r="F13" i="9"/>
  <c r="F14" i="9"/>
  <c r="F19" i="9"/>
  <c r="F20" i="9"/>
  <c r="F23" i="9"/>
  <c r="F25" i="9"/>
  <c r="F7" i="9"/>
  <c r="G9" i="9"/>
  <c r="G10" i="9"/>
  <c r="G12" i="9"/>
  <c r="G13" i="9"/>
  <c r="G14" i="9"/>
  <c r="G19" i="9"/>
  <c r="G20" i="9"/>
  <c r="G23" i="9"/>
  <c r="G25" i="9"/>
  <c r="G7" i="9"/>
  <c r="H9" i="9"/>
  <c r="H10" i="9"/>
  <c r="H12" i="9"/>
  <c r="H13" i="9"/>
  <c r="H14" i="9"/>
  <c r="H19" i="9"/>
  <c r="H20" i="9"/>
  <c r="H23" i="9"/>
  <c r="H25" i="9"/>
  <c r="H7" i="9"/>
  <c r="G9" i="8"/>
  <c r="H9" i="8"/>
  <c r="G12" i="8"/>
  <c r="H12" i="8"/>
  <c r="G13" i="8"/>
  <c r="H13" i="8"/>
  <c r="H14" i="8"/>
  <c r="G15" i="8"/>
  <c r="G19" i="8"/>
  <c r="H19" i="8"/>
  <c r="G20" i="8"/>
  <c r="H20" i="8"/>
  <c r="G21" i="8"/>
  <c r="G23" i="8"/>
  <c r="H23" i="8"/>
  <c r="G25" i="8"/>
  <c r="H25" i="8"/>
  <c r="H7" i="8"/>
  <c r="G7" i="8"/>
  <c r="F9" i="8"/>
  <c r="F10" i="8"/>
  <c r="F12" i="8"/>
  <c r="F13" i="8"/>
  <c r="F19" i="8"/>
  <c r="F20" i="8"/>
  <c r="F23" i="8"/>
  <c r="F25" i="8"/>
  <c r="F7" i="8"/>
  <c r="D21" i="9"/>
  <c r="G21" i="9" s="1"/>
  <c r="C21" i="9"/>
  <c r="B21" i="9"/>
  <c r="D15" i="9"/>
  <c r="F15" i="9" s="1"/>
  <c r="C15" i="9"/>
  <c r="B15" i="9"/>
  <c r="D10" i="9"/>
  <c r="C10" i="9"/>
  <c r="C16" i="9" s="1"/>
  <c r="C22" i="9" s="1"/>
  <c r="C24" i="9" s="1"/>
  <c r="C26" i="9" s="1"/>
  <c r="B10" i="9"/>
  <c r="B16" i="9" s="1"/>
  <c r="B22" i="9" s="1"/>
  <c r="B24" i="9" s="1"/>
  <c r="B26" i="9" s="1"/>
  <c r="D21" i="8"/>
  <c r="H21" i="8" s="1"/>
  <c r="C21" i="8"/>
  <c r="B21" i="8"/>
  <c r="F21" i="8" s="1"/>
  <c r="D15" i="8"/>
  <c r="H15" i="8" s="1"/>
  <c r="C15" i="8"/>
  <c r="B15" i="8"/>
  <c r="F15" i="8" s="1"/>
  <c r="D10" i="8"/>
  <c r="D16" i="8" s="1"/>
  <c r="D22" i="8" s="1"/>
  <c r="D24" i="8" s="1"/>
  <c r="D26" i="8" s="1"/>
  <c r="H26" i="8" s="1"/>
  <c r="C10" i="8"/>
  <c r="C16" i="8" s="1"/>
  <c r="C22" i="8" s="1"/>
  <c r="C24" i="8" s="1"/>
  <c r="C26" i="8" s="1"/>
  <c r="G26" i="8" s="1"/>
  <c r="B10" i="8"/>
  <c r="E10" i="7"/>
  <c r="E11" i="7"/>
  <c r="E14" i="7"/>
  <c r="E15" i="7"/>
  <c r="E16" i="7"/>
  <c r="E17" i="7"/>
  <c r="E19" i="7"/>
  <c r="E22" i="7"/>
  <c r="E23" i="7"/>
  <c r="E24" i="7"/>
  <c r="E25" i="7"/>
  <c r="E27" i="7"/>
  <c r="E28" i="7"/>
  <c r="E29" i="7"/>
  <c r="E30" i="7"/>
  <c r="E35" i="7"/>
  <c r="E36" i="7"/>
  <c r="E37" i="7"/>
  <c r="E38" i="7"/>
  <c r="E39" i="7"/>
  <c r="E41" i="7"/>
  <c r="E42" i="7"/>
  <c r="E43" i="7"/>
  <c r="E48" i="7"/>
  <c r="E49" i="7"/>
  <c r="E50" i="7"/>
  <c r="E52" i="7"/>
  <c r="E9" i="7"/>
  <c r="C47" i="7"/>
  <c r="C51" i="7" s="1"/>
  <c r="C54" i="7" s="1"/>
  <c r="B47" i="7"/>
  <c r="B51" i="7" s="1"/>
  <c r="B54" i="7" s="1"/>
  <c r="E54" i="7" s="1"/>
  <c r="C40" i="7"/>
  <c r="C44" i="7" s="1"/>
  <c r="B40" i="7"/>
  <c r="B44" i="7" s="1"/>
  <c r="E44" i="7" s="1"/>
  <c r="C26" i="7"/>
  <c r="E26" i="7" s="1"/>
  <c r="B26" i="7"/>
  <c r="C17" i="7"/>
  <c r="C20" i="7" s="1"/>
  <c r="B17" i="7"/>
  <c r="B20" i="7" s="1"/>
  <c r="B31" i="7" s="1"/>
  <c r="F10" i="6"/>
  <c r="F17" i="6"/>
  <c r="F22" i="6"/>
  <c r="F27" i="6"/>
  <c r="F30" i="6"/>
  <c r="C47" i="6"/>
  <c r="C51" i="6" s="1"/>
  <c r="C54" i="6" s="1"/>
  <c r="B47" i="6"/>
  <c r="B51" i="6" s="1"/>
  <c r="B54" i="6" s="1"/>
  <c r="C40" i="6"/>
  <c r="C44" i="6" s="1"/>
  <c r="B40" i="6"/>
  <c r="B44" i="6" s="1"/>
  <c r="C26" i="6"/>
  <c r="B26" i="6"/>
  <c r="C17" i="6"/>
  <c r="C20" i="6" s="1"/>
  <c r="C31" i="6" s="1"/>
  <c r="F11" i="6" s="1"/>
  <c r="B17" i="6"/>
  <c r="B20" i="6" s="1"/>
  <c r="B31" i="6" s="1"/>
  <c r="E16" i="6" s="1"/>
  <c r="C15" i="4"/>
  <c r="D15" i="4"/>
  <c r="B15" i="4"/>
  <c r="C69" i="10" s="1"/>
  <c r="C10" i="4"/>
  <c r="C16" i="4" s="1"/>
  <c r="E16" i="10" s="1"/>
  <c r="D10" i="4"/>
  <c r="B10" i="4"/>
  <c r="C13" i="10" s="1"/>
  <c r="D13" i="10" s="1"/>
  <c r="D21" i="4"/>
  <c r="C21" i="4"/>
  <c r="B21" i="4"/>
  <c r="C47" i="1"/>
  <c r="C51" i="1" s="1"/>
  <c r="C54" i="1" s="1"/>
  <c r="B47" i="1"/>
  <c r="B51" i="1" s="1"/>
  <c r="B54" i="1" s="1"/>
  <c r="C40" i="1"/>
  <c r="C44" i="1" s="1"/>
  <c r="E45" i="10" s="1"/>
  <c r="E51" i="10" s="1"/>
  <c r="B40" i="1"/>
  <c r="B44" i="1" s="1"/>
  <c r="C45" i="10" s="1"/>
  <c r="C26" i="1"/>
  <c r="E38" i="10" s="1"/>
  <c r="B26" i="1"/>
  <c r="C38" i="10" s="1"/>
  <c r="C17" i="1"/>
  <c r="C20" i="1" s="1"/>
  <c r="B17" i="1"/>
  <c r="B20" i="1" s="1"/>
  <c r="B31" i="1" s="1"/>
  <c r="H9" i="11" s="1"/>
  <c r="C51" i="10" l="1"/>
  <c r="D51" i="10" s="1"/>
  <c r="D45" i="10"/>
  <c r="C46" i="10"/>
  <c r="C49" i="10" s="1"/>
  <c r="D48" i="10" s="1"/>
  <c r="C10" i="10"/>
  <c r="E10" i="10"/>
  <c r="E46" i="10"/>
  <c r="E55" i="10" s="1"/>
  <c r="E27" i="6"/>
  <c r="H21" i="9"/>
  <c r="F21" i="9"/>
  <c r="F10" i="9"/>
  <c r="C60" i="10"/>
  <c r="C63" i="10" s="1"/>
  <c r="C66" i="10" s="1"/>
  <c r="D65" i="10" s="1"/>
  <c r="C31" i="1"/>
  <c r="E26" i="6"/>
  <c r="E15" i="6"/>
  <c r="F29" i="6"/>
  <c r="F20" i="6"/>
  <c r="E51" i="7"/>
  <c r="H24" i="8"/>
  <c r="C6" i="10"/>
  <c r="E60" i="10"/>
  <c r="E63" i="10" s="1"/>
  <c r="E66" i="10" s="1"/>
  <c r="F65" i="10" s="1"/>
  <c r="E25" i="6"/>
  <c r="E14" i="6"/>
  <c r="E17" i="6" s="1"/>
  <c r="F28" i="6"/>
  <c r="F19" i="6"/>
  <c r="E40" i="7"/>
  <c r="E20" i="7"/>
  <c r="B16" i="8"/>
  <c r="G24" i="8"/>
  <c r="C62" i="10"/>
  <c r="D62" i="10" s="1"/>
  <c r="E31" i="6"/>
  <c r="E23" i="6"/>
  <c r="H15" i="9"/>
  <c r="C23" i="10"/>
  <c r="F9" i="11"/>
  <c r="E9" i="6"/>
  <c r="F26" i="6"/>
  <c r="F16" i="6"/>
  <c r="G15" i="9"/>
  <c r="C52" i="10"/>
  <c r="C54" i="10" s="1"/>
  <c r="E30" i="6"/>
  <c r="F25" i="6"/>
  <c r="E47" i="7"/>
  <c r="D16" i="9"/>
  <c r="H22" i="8"/>
  <c r="H16" i="8"/>
  <c r="D16" i="4"/>
  <c r="E29" i="6"/>
  <c r="E20" i="6"/>
  <c r="F9" i="6"/>
  <c r="F24" i="6"/>
  <c r="F14" i="6"/>
  <c r="C31" i="7"/>
  <c r="E31" i="7" s="1"/>
  <c r="G22" i="8"/>
  <c r="G16" i="8"/>
  <c r="H10" i="8"/>
  <c r="E13" i="10"/>
  <c r="F13" i="10" s="1"/>
  <c r="C59" i="10"/>
  <c r="C68" i="10"/>
  <c r="D68" i="10" s="1"/>
  <c r="E24" i="6"/>
  <c r="E10" i="6"/>
  <c r="C26" i="10"/>
  <c r="C29" i="10" s="1"/>
  <c r="D28" i="10" s="1"/>
  <c r="E22" i="6"/>
  <c r="F15" i="6"/>
  <c r="E26" i="10"/>
  <c r="E29" i="10" s="1"/>
  <c r="E40" i="10" s="1"/>
  <c r="F40" i="10" s="1"/>
  <c r="E28" i="6"/>
  <c r="E19" i="6"/>
  <c r="F31" i="6"/>
  <c r="F23" i="6"/>
  <c r="G10" i="8"/>
  <c r="E59" i="10"/>
  <c r="F59" i="10" s="1"/>
  <c r="E68" i="10"/>
  <c r="F68" i="10" s="1"/>
  <c r="E11" i="6"/>
  <c r="C55" i="10"/>
  <c r="D54" i="10" s="1"/>
  <c r="F28" i="10"/>
  <c r="F62" i="10"/>
  <c r="E49" i="10"/>
  <c r="F48" i="10" s="1"/>
  <c r="F45" i="10"/>
  <c r="C40" i="10"/>
  <c r="D40" i="10" s="1"/>
  <c r="E20" i="10"/>
  <c r="F16" i="10"/>
  <c r="C17" i="10"/>
  <c r="E31" i="10"/>
  <c r="E37" i="10" s="1"/>
  <c r="F25" i="10"/>
  <c r="C56" i="7"/>
  <c r="B56" i="7"/>
  <c r="E56" i="7" s="1"/>
  <c r="C56" i="6"/>
  <c r="B56" i="6"/>
  <c r="D22" i="4"/>
  <c r="D24" i="4" s="1"/>
  <c r="D26" i="4" s="1"/>
  <c r="B16" i="4"/>
  <c r="C16" i="10" s="1"/>
  <c r="B22" i="4"/>
  <c r="B24" i="4" s="1"/>
  <c r="B26" i="4" s="1"/>
  <c r="C22" i="4"/>
  <c r="C24" i="4" s="1"/>
  <c r="C26" i="4" s="1"/>
  <c r="C56" i="1"/>
  <c r="B56" i="1"/>
  <c r="B22" i="8" l="1"/>
  <c r="F16" i="8"/>
  <c r="E38" i="6"/>
  <c r="E52" i="6"/>
  <c r="E56" i="6"/>
  <c r="E39" i="6"/>
  <c r="E43" i="6"/>
  <c r="E49" i="6"/>
  <c r="E36" i="6"/>
  <c r="E44" i="6"/>
  <c r="E50" i="6"/>
  <c r="E40" i="6"/>
  <c r="E37" i="6"/>
  <c r="E41" i="6"/>
  <c r="E35" i="6"/>
  <c r="E42" i="6"/>
  <c r="E48" i="6"/>
  <c r="D22" i="9"/>
  <c r="H16" i="9"/>
  <c r="G16" i="9"/>
  <c r="E54" i="6"/>
  <c r="D59" i="10"/>
  <c r="H11" i="11"/>
  <c r="E52" i="10"/>
  <c r="F11" i="11"/>
  <c r="E6" i="10"/>
  <c r="E23" i="10" s="1"/>
  <c r="F22" i="10" s="1"/>
  <c r="F40" i="6"/>
  <c r="F38" i="6"/>
  <c r="F42" i="6"/>
  <c r="F48" i="6"/>
  <c r="F52" i="6"/>
  <c r="F39" i="6"/>
  <c r="F43" i="6"/>
  <c r="F49" i="6"/>
  <c r="F54" i="6"/>
  <c r="F56" i="6"/>
  <c r="F44" i="6"/>
  <c r="F36" i="6"/>
  <c r="F50" i="6"/>
  <c r="F35" i="6"/>
  <c r="F37" i="6"/>
  <c r="F41" i="6"/>
  <c r="F47" i="6"/>
  <c r="F51" i="6"/>
  <c r="C5" i="10"/>
  <c r="D9" i="11"/>
  <c r="E47" i="6"/>
  <c r="B11" i="11"/>
  <c r="D11" i="11"/>
  <c r="E5" i="10"/>
  <c r="F16" i="9"/>
  <c r="E51" i="6"/>
  <c r="D16" i="10"/>
  <c r="C22" i="10"/>
  <c r="E35" i="10"/>
  <c r="F34" i="10" s="1"/>
  <c r="F31" i="10"/>
  <c r="F5" i="10" l="1"/>
  <c r="E9" i="10"/>
  <c r="E54" i="10"/>
  <c r="F54" i="10" s="1"/>
  <c r="F51" i="10"/>
  <c r="C9" i="10"/>
  <c r="D5" i="10"/>
  <c r="D24" i="9"/>
  <c r="H22" i="9"/>
  <c r="G22" i="9"/>
  <c r="F22" i="9"/>
  <c r="B24" i="8"/>
  <c r="F22" i="8"/>
  <c r="C25" i="10"/>
  <c r="D22" i="10"/>
  <c r="F37" i="10"/>
  <c r="D26" i="9" l="1"/>
  <c r="H24" i="9"/>
  <c r="F24" i="9"/>
  <c r="G24" i="9"/>
  <c r="B26" i="8"/>
  <c r="F26" i="8" s="1"/>
  <c r="F24" i="8"/>
  <c r="E19" i="10"/>
  <c r="F19" i="10" s="1"/>
  <c r="F9" i="10"/>
  <c r="D9" i="10"/>
  <c r="B9" i="11" s="1"/>
  <c r="C19" i="10"/>
  <c r="D19" i="10" s="1"/>
  <c r="C31" i="10"/>
  <c r="C37" i="10" s="1"/>
  <c r="D25" i="10"/>
  <c r="G26" i="9" l="1"/>
  <c r="H26" i="9"/>
  <c r="F26" i="9"/>
  <c r="C35" i="10"/>
  <c r="D34" i="10" s="1"/>
  <c r="D31" i="10"/>
  <c r="D37" i="10" l="1"/>
</calcChain>
</file>

<file path=xl/sharedStrings.xml><?xml version="1.0" encoding="utf-8"?>
<sst xmlns="http://schemas.openxmlformats.org/spreadsheetml/2006/main" count="287" uniqueCount="130">
  <si>
    <t>Consolidated Statement of Income</t>
  </si>
  <si>
    <t>3M Company and Subsidiaries</t>
  </si>
  <si>
    <t>Years ended December 31</t>
  </si>
  <si>
    <t>At December 31</t>
  </si>
  <si>
    <t>Assets</t>
  </si>
  <si>
    <t>Current assets</t>
  </si>
  <si>
    <t>Liabilities</t>
  </si>
  <si>
    <t>Current liabilities</t>
  </si>
  <si>
    <t>Equity</t>
  </si>
  <si>
    <t>(Millions US$)</t>
  </si>
  <si>
    <t xml:space="preserve">Cash and cash equivalents </t>
  </si>
  <si>
    <t xml:space="preserve">Marketable securities — current </t>
  </si>
  <si>
    <t xml:space="preserve">Inventories </t>
  </si>
  <si>
    <t xml:space="preserve">Finished goods </t>
  </si>
  <si>
    <t xml:space="preserve">Work in process </t>
  </si>
  <si>
    <t>Raw materials and supplies</t>
  </si>
  <si>
    <t xml:space="preserve">Total inventories </t>
  </si>
  <si>
    <t xml:space="preserve">Other current assets </t>
  </si>
  <si>
    <t xml:space="preserve">Total current assets </t>
  </si>
  <si>
    <t>Marketable securities — non-current</t>
  </si>
  <si>
    <t xml:space="preserve">Investments </t>
  </si>
  <si>
    <t xml:space="preserve">Property, plant and equipment </t>
  </si>
  <si>
    <t xml:space="preserve">Less: Accumulated depreciation </t>
  </si>
  <si>
    <t xml:space="preserve">Property, plant and equipment — net </t>
  </si>
  <si>
    <t xml:space="preserve">Goodwill </t>
  </si>
  <si>
    <t xml:space="preserve">Intangible assets — net </t>
  </si>
  <si>
    <t xml:space="preserve">Prepaid pension benefits </t>
  </si>
  <si>
    <t>Other assets</t>
  </si>
  <si>
    <t xml:space="preserve">Total assets </t>
  </si>
  <si>
    <t xml:space="preserve">Short-term borrowings and current portion of long-term debt </t>
  </si>
  <si>
    <t xml:space="preserve">Accounts payable </t>
  </si>
  <si>
    <t xml:space="preserve">Accrued payroll </t>
  </si>
  <si>
    <t xml:space="preserve">Accrued income taxes </t>
  </si>
  <si>
    <t xml:space="preserve">Other current liabilities </t>
  </si>
  <si>
    <t>Total current liabilities</t>
  </si>
  <si>
    <t xml:space="preserve">Long-term debt </t>
  </si>
  <si>
    <t xml:space="preserve">Pension and postretirement benefits </t>
  </si>
  <si>
    <t>Other liabilities</t>
  </si>
  <si>
    <t>Total liabilities</t>
  </si>
  <si>
    <t xml:space="preserve">Additional paid-in capital </t>
  </si>
  <si>
    <t xml:space="preserve">Retained earnings </t>
  </si>
  <si>
    <t xml:space="preserve">Treasury stock </t>
  </si>
  <si>
    <t xml:space="preserve">Accumulated other comprehensive income (loss) </t>
  </si>
  <si>
    <t xml:space="preserve">Total 3M Company shareholders’ equity </t>
  </si>
  <si>
    <t xml:space="preserve">Noncontrolling interest </t>
  </si>
  <si>
    <t xml:space="preserve">Total equity </t>
  </si>
  <si>
    <t xml:space="preserve">Total liabilities and equity </t>
  </si>
  <si>
    <t xml:space="preserve">Net sales </t>
  </si>
  <si>
    <t xml:space="preserve">Operating expenses </t>
  </si>
  <si>
    <t xml:space="preserve">Cost of sales </t>
  </si>
  <si>
    <t xml:space="preserve">Selling, general and administrative expenses </t>
  </si>
  <si>
    <t>Research, development and related expenses</t>
  </si>
  <si>
    <t xml:space="preserve">Loss from sale of businesses </t>
  </si>
  <si>
    <t xml:space="preserve">Total operating expenses </t>
  </si>
  <si>
    <t xml:space="preserve">Operating income </t>
  </si>
  <si>
    <t xml:space="preserve">Interest expense and income </t>
  </si>
  <si>
    <t>Interest expense</t>
  </si>
  <si>
    <t>Interest income</t>
  </si>
  <si>
    <t xml:space="preserve">Total interest expense (income) </t>
  </si>
  <si>
    <t xml:space="preserve">Income before income taxes </t>
  </si>
  <si>
    <t xml:space="preserve">Provision for income taxes </t>
  </si>
  <si>
    <t>Net income including noncontrolling interest</t>
  </si>
  <si>
    <t xml:space="preserve">Less: Net income attributable to noncontrolling interest </t>
  </si>
  <si>
    <t xml:space="preserve">Net income attributable to 3M </t>
  </si>
  <si>
    <t>(Dollars in millions)</t>
  </si>
  <si>
    <t>Year</t>
  </si>
  <si>
    <t>Gross Margin</t>
  </si>
  <si>
    <t xml:space="preserve">Accounts receivable </t>
  </si>
  <si>
    <t>Análisis Vertical</t>
  </si>
  <si>
    <t>Análisis Horizontal</t>
  </si>
  <si>
    <t>Relaciones Financieras</t>
  </si>
  <si>
    <t>Medidas de Rendimiento Financiero</t>
  </si>
  <si>
    <t>Retorno sobre Activos (ROA)</t>
  </si>
  <si>
    <t>Rentabilidad</t>
  </si>
  <si>
    <t>Utilidad Antes de Impuesto / Activo Total</t>
  </si>
  <si>
    <t>Retorno sobre Patrimonio (ROE)</t>
  </si>
  <si>
    <t>Utilidad Antes de Impuesto / Patrimonio</t>
  </si>
  <si>
    <t>Eficiencia</t>
  </si>
  <si>
    <t>Utilidad Bruta / Ventas Netas</t>
  </si>
  <si>
    <t>Margen Bruto</t>
  </si>
  <si>
    <t>Utilidad Operacional / Ventas Netas</t>
  </si>
  <si>
    <t>Margen Operacional</t>
  </si>
  <si>
    <t>Utilidad Antes de Impuesto / Ventas Netas</t>
  </si>
  <si>
    <t>Margen Neto (1)</t>
  </si>
  <si>
    <t>Ventas Netas /Activo Total</t>
  </si>
  <si>
    <t>Rotación de Activos</t>
  </si>
  <si>
    <t>Ventas Netas / Inventarios (promedio o final)</t>
  </si>
  <si>
    <t>Rotación Inventarios (1)</t>
  </si>
  <si>
    <t>Costo de Ventas / Inventario (promedio o final)</t>
  </si>
  <si>
    <t>Rotación Inventarios (2)</t>
  </si>
  <si>
    <t>Ventas Netas / Cuentas por Cobrar (promedio o final)</t>
  </si>
  <si>
    <t>Rotación Cuentas por Cobrar</t>
  </si>
  <si>
    <t>Cuentas por Cobrar /Venta Diaria</t>
  </si>
  <si>
    <t>Periodo de Recuperación (dias)</t>
  </si>
  <si>
    <t>Ventas Netas / Activo Fijo Neto</t>
  </si>
  <si>
    <t>Rotación Activo Fijo (2)</t>
  </si>
  <si>
    <t>Inventarios / Costo de Venta dia</t>
  </si>
  <si>
    <t>Permanencia de Inventarios</t>
  </si>
  <si>
    <t>Endeudamiento</t>
  </si>
  <si>
    <t>Deuda Total /Patrimonio</t>
  </si>
  <si>
    <t>Deuda Total a Capital</t>
  </si>
  <si>
    <t>Deuda Largo Plazo /Patrimonio</t>
  </si>
  <si>
    <t>Deuda Largo Plazo a Capital</t>
  </si>
  <si>
    <t>Deuda Total / Activo Total</t>
  </si>
  <si>
    <t>Deuda Total a Activo Total</t>
  </si>
  <si>
    <t>Activo Total / Patrimonio</t>
  </si>
  <si>
    <t>Leverage</t>
  </si>
  <si>
    <t>Liquidez</t>
  </si>
  <si>
    <t>Activo Circulante / Pasivo Circulante</t>
  </si>
  <si>
    <t>Razón Circulante</t>
  </si>
  <si>
    <t>(Activo Circulante - Inventarios) / Pasivo Circulante</t>
  </si>
  <si>
    <t>Razón Acida</t>
  </si>
  <si>
    <t>(Caja + Bancos + V. Neg) / Pasivo Circulante</t>
  </si>
  <si>
    <t>Ratio de Tesorería</t>
  </si>
  <si>
    <t>(Caja + Bancos + V.Neg + Ctas por Cobrar)/ Gtos Operación dia</t>
  </si>
  <si>
    <t>Cobertura GG de Explotación</t>
  </si>
  <si>
    <t>(dias)</t>
  </si>
  <si>
    <t>Aplicación del Modelo Du Pont</t>
  </si>
  <si>
    <t>Ut Neta</t>
  </si>
  <si>
    <t>=</t>
  </si>
  <si>
    <t>*</t>
  </si>
  <si>
    <t>Ventas</t>
  </si>
  <si>
    <t>Activo Total</t>
  </si>
  <si>
    <t xml:space="preserve">Patrimonio </t>
  </si>
  <si>
    <t>Patrimonio</t>
  </si>
  <si>
    <t xml:space="preserve">Retorno Sobre Patrimonio </t>
  </si>
  <si>
    <t xml:space="preserve">Retorno Sobre Activos </t>
  </si>
  <si>
    <t xml:space="preserve">Apalancamiento </t>
  </si>
  <si>
    <t>3M</t>
  </si>
  <si>
    <t>Retorno Sobre Patrimonio                                           = Margen            *      Rotación           * Endeudamiento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</si>
</sst>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3" fontId="0" fillId="2" borderId="0" xfId="0" applyNumberFormat="1" applyFill="1"/>
    <xf numFmtId="0" fontId="2" fillId="2" borderId="0" xfId="0" applyFont="1" applyFill="1"/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2" fillId="2" borderId="1" xfId="0" applyFont="1" applyFill="1" applyBorder="1"/>
    <xf numFmtId="3" fontId="0" fillId="2" borderId="2" xfId="0" applyNumberFormat="1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9" fontId="0" fillId="2" borderId="0" xfId="1" applyFont="1" applyFill="1"/>
    <xf numFmtId="10" fontId="0" fillId="2" borderId="0" xfId="1" applyNumberFormat="1" applyFont="1" applyFill="1"/>
    <xf numFmtId="0" fontId="1" fillId="2" borderId="0" xfId="0" applyFont="1" applyFill="1"/>
    <xf numFmtId="4" fontId="0" fillId="2" borderId="0" xfId="0" applyNumberFormat="1" applyFill="1"/>
    <xf numFmtId="0" fontId="0" fillId="2" borderId="4" xfId="0" applyFill="1" applyBorder="1"/>
    <xf numFmtId="0" fontId="0" fillId="2" borderId="5" xfId="0" applyFill="1" applyBorder="1"/>
    <xf numFmtId="4" fontId="4" fillId="2" borderId="5" xfId="0" applyNumberFormat="1" applyFont="1" applyFill="1" applyBorder="1"/>
    <xf numFmtId="10" fontId="0" fillId="2" borderId="5" xfId="1" applyNumberFormat="1" applyFont="1" applyFill="1" applyBorder="1"/>
    <xf numFmtId="10" fontId="0" fillId="2" borderId="6" xfId="1" applyNumberFormat="1" applyFont="1" applyFill="1" applyBorder="1"/>
    <xf numFmtId="0" fontId="0" fillId="2" borderId="7" xfId="0" applyFill="1" applyBorder="1"/>
    <xf numFmtId="10" fontId="0" fillId="2" borderId="0" xfId="1" applyNumberFormat="1" applyFont="1" applyFill="1" applyBorder="1"/>
    <xf numFmtId="0" fontId="0" fillId="2" borderId="8" xfId="0" applyFill="1" applyBorder="1"/>
    <xf numFmtId="0" fontId="0" fillId="2" borderId="9" xfId="0" applyFill="1" applyBorder="1"/>
    <xf numFmtId="4" fontId="0" fillId="2" borderId="9" xfId="0" applyNumberFormat="1" applyFill="1" applyBorder="1"/>
    <xf numFmtId="10" fontId="0" fillId="2" borderId="9" xfId="1" applyNumberFormat="1" applyFont="1" applyFill="1" applyBorder="1"/>
    <xf numFmtId="10" fontId="0" fillId="2" borderId="10" xfId="1" applyNumberFormat="1" applyFont="1" applyFill="1" applyBorder="1"/>
    <xf numFmtId="4" fontId="0" fillId="2" borderId="5" xfId="1" applyNumberFormat="1" applyFont="1" applyFill="1" applyBorder="1"/>
    <xf numFmtId="4" fontId="0" fillId="2" borderId="9" xfId="1" applyNumberFormat="1" applyFont="1" applyFill="1" applyBorder="1"/>
    <xf numFmtId="4" fontId="0" fillId="2" borderId="0" xfId="1" applyNumberFormat="1" applyFont="1" applyFill="1"/>
    <xf numFmtId="4" fontId="0" fillId="2" borderId="5" xfId="0" applyNumberFormat="1" applyFill="1" applyBorder="1"/>
    <xf numFmtId="4" fontId="0" fillId="2" borderId="0" xfId="1" applyNumberFormat="1" applyFont="1" applyFill="1" applyBorder="1"/>
    <xf numFmtId="0" fontId="4" fillId="2" borderId="1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l/imgres?imgurl=http://i833.photobucket.com/albums/zz256/OriginalCars/3M-logo.jpg&amp;imgrefurl=http://articulo.mercadolibre.com.ar/MLA-85639690-ventiletes-derivabrisas-acrilicos-para-todos-los-vehiculos-_JM&amp;usg=__BkdeeoVWELZmEQgdN0t6W_Feqt4=&amp;h=349&amp;w=663&amp;sz=36&amp;hl=es&amp;start=3&amp;um=1&amp;itbs=1&amp;tbnid=DcvOLQH8eQG6GM:&amp;tbnh=73&amp;tbnw=138&amp;prev=/images?q=3m&amp;um=1&amp;hl=es&amp;sa=N&amp;tbs=isch: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1085851</xdr:colOff>
      <xdr:row>3</xdr:row>
      <xdr:rowOff>2899</xdr:rowOff>
    </xdr:to>
    <xdr:pic>
      <xdr:nvPicPr>
        <xdr:cNvPr id="2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0"/>
          <a:ext cx="1085850" cy="57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1085851</xdr:colOff>
      <xdr:row>3</xdr:row>
      <xdr:rowOff>2899</xdr:rowOff>
    </xdr:to>
    <xdr:pic>
      <xdr:nvPicPr>
        <xdr:cNvPr id="2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0"/>
          <a:ext cx="1085850" cy="57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1085851</xdr:colOff>
      <xdr:row>3</xdr:row>
      <xdr:rowOff>2899</xdr:rowOff>
    </xdr:to>
    <xdr:pic>
      <xdr:nvPicPr>
        <xdr:cNvPr id="2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0"/>
          <a:ext cx="1085850" cy="57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2</xdr:row>
      <xdr:rowOff>188361</xdr:rowOff>
    </xdr:to>
    <xdr:pic>
      <xdr:nvPicPr>
        <xdr:cNvPr id="3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076325" cy="569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2</xdr:row>
      <xdr:rowOff>188361</xdr:rowOff>
    </xdr:to>
    <xdr:pic>
      <xdr:nvPicPr>
        <xdr:cNvPr id="2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076325" cy="569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2</xdr:row>
      <xdr:rowOff>188361</xdr:rowOff>
    </xdr:to>
    <xdr:pic>
      <xdr:nvPicPr>
        <xdr:cNvPr id="2" name="Picture 6" descr="http://t2.gstatic.com/images?q=tbn:DcvOLQH8eQG6GM:http://i833.photobucket.com/albums/zz256/OriginalCars/3M-logo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1076325" cy="569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90" zoomScaleNormal="90" workbookViewId="0">
      <selection sqref="A1:D1"/>
    </sheetView>
  </sheetViews>
  <sheetFormatPr baseColWidth="10" defaultRowHeight="15" x14ac:dyDescent="0.25"/>
  <cols>
    <col min="1" max="1" width="56.42578125" style="1" bestFit="1" customWidth="1"/>
    <col min="2" max="16384" width="11.42578125" style="1"/>
  </cols>
  <sheetData>
    <row r="1" spans="1:4" x14ac:dyDescent="0.25">
      <c r="A1" s="40" t="s">
        <v>0</v>
      </c>
      <c r="B1" s="40"/>
      <c r="C1" s="40"/>
      <c r="D1" s="40"/>
    </row>
    <row r="2" spans="1:4" x14ac:dyDescent="0.25">
      <c r="A2" s="40" t="s">
        <v>1</v>
      </c>
      <c r="B2" s="40"/>
      <c r="C2" s="40"/>
      <c r="D2" s="40"/>
    </row>
    <row r="4" spans="1:4" x14ac:dyDescent="0.25">
      <c r="A4" s="1" t="s">
        <v>2</v>
      </c>
      <c r="B4" s="2">
        <v>2010</v>
      </c>
      <c r="C4" s="2">
        <v>2009</v>
      </c>
      <c r="D4" s="2">
        <v>2008</v>
      </c>
    </row>
    <row r="5" spans="1:4" x14ac:dyDescent="0.25">
      <c r="A5" s="1" t="s">
        <v>9</v>
      </c>
    </row>
    <row r="7" spans="1:4" x14ac:dyDescent="0.25">
      <c r="A7" s="1" t="s">
        <v>47</v>
      </c>
      <c r="B7" s="3">
        <v>26662</v>
      </c>
      <c r="C7" s="3">
        <v>23123</v>
      </c>
      <c r="D7" s="3">
        <v>25269</v>
      </c>
    </row>
    <row r="8" spans="1:4" x14ac:dyDescent="0.25">
      <c r="A8" s="1" t="s">
        <v>48</v>
      </c>
      <c r="B8" s="3"/>
      <c r="C8" s="3"/>
      <c r="D8" s="3"/>
    </row>
    <row r="9" spans="1:4" x14ac:dyDescent="0.25">
      <c r="A9" s="1" t="s">
        <v>49</v>
      </c>
      <c r="B9" s="3">
        <v>13831</v>
      </c>
      <c r="C9" s="3">
        <v>12109</v>
      </c>
      <c r="D9" s="3">
        <v>13379</v>
      </c>
    </row>
    <row r="10" spans="1:4" x14ac:dyDescent="0.25">
      <c r="A10" s="4" t="s">
        <v>66</v>
      </c>
      <c r="B10" s="3">
        <f>B7-B9</f>
        <v>12831</v>
      </c>
      <c r="C10" s="3">
        <f>C7-C9</f>
        <v>11014</v>
      </c>
      <c r="D10" s="3">
        <f>D7-D9</f>
        <v>11890</v>
      </c>
    </row>
    <row r="11" spans="1:4" x14ac:dyDescent="0.25">
      <c r="B11" s="3"/>
      <c r="C11" s="3"/>
      <c r="D11" s="3"/>
    </row>
    <row r="12" spans="1:4" x14ac:dyDescent="0.25">
      <c r="A12" s="1" t="s">
        <v>50</v>
      </c>
      <c r="B12" s="3">
        <v>5479</v>
      </c>
      <c r="C12" s="3">
        <v>4907</v>
      </c>
      <c r="D12" s="3">
        <v>5245</v>
      </c>
    </row>
    <row r="13" spans="1:4" x14ac:dyDescent="0.25">
      <c r="A13" s="1" t="s">
        <v>51</v>
      </c>
      <c r="B13" s="3">
        <v>1434</v>
      </c>
      <c r="C13" s="3">
        <v>1293</v>
      </c>
      <c r="D13" s="3">
        <v>1404</v>
      </c>
    </row>
    <row r="14" spans="1:4" x14ac:dyDescent="0.25">
      <c r="A14" s="1" t="s">
        <v>52</v>
      </c>
      <c r="B14" s="3"/>
      <c r="C14" s="3"/>
      <c r="D14" s="3">
        <v>23</v>
      </c>
    </row>
    <row r="15" spans="1:4" x14ac:dyDescent="0.25">
      <c r="A15" s="1" t="s">
        <v>53</v>
      </c>
      <c r="B15" s="3">
        <f>SUM(B12:B14)</f>
        <v>6913</v>
      </c>
      <c r="C15" s="3">
        <f>SUM(C12:C14)</f>
        <v>6200</v>
      </c>
      <c r="D15" s="3">
        <f>SUM(D12:D14)</f>
        <v>6672</v>
      </c>
    </row>
    <row r="16" spans="1:4" x14ac:dyDescent="0.25">
      <c r="A16" s="4" t="s">
        <v>54</v>
      </c>
      <c r="B16" s="3">
        <f>B10-B15</f>
        <v>5918</v>
      </c>
      <c r="C16" s="3">
        <f>C10-C15</f>
        <v>4814</v>
      </c>
      <c r="D16" s="3">
        <f>D10-D15</f>
        <v>5218</v>
      </c>
    </row>
    <row r="17" spans="1:4" x14ac:dyDescent="0.25">
      <c r="B17" s="3"/>
      <c r="C17" s="3"/>
      <c r="D17" s="3"/>
    </row>
    <row r="18" spans="1:4" x14ac:dyDescent="0.25">
      <c r="A18" s="1" t="s">
        <v>55</v>
      </c>
      <c r="B18" s="3"/>
      <c r="C18" s="3"/>
      <c r="D18" s="3"/>
    </row>
    <row r="19" spans="1:4" x14ac:dyDescent="0.25">
      <c r="A19" s="1" t="s">
        <v>56</v>
      </c>
      <c r="B19" s="3">
        <v>201</v>
      </c>
      <c r="C19" s="3">
        <v>219</v>
      </c>
      <c r="D19" s="3">
        <v>215</v>
      </c>
    </row>
    <row r="20" spans="1:4" x14ac:dyDescent="0.25">
      <c r="A20" s="1" t="s">
        <v>57</v>
      </c>
      <c r="B20" s="3">
        <v>-38</v>
      </c>
      <c r="C20" s="3">
        <v>-37</v>
      </c>
      <c r="D20" s="3">
        <v>-105</v>
      </c>
    </row>
    <row r="21" spans="1:4" x14ac:dyDescent="0.25">
      <c r="A21" s="1" t="s">
        <v>58</v>
      </c>
      <c r="B21" s="3">
        <f>SUM(B19:B20)</f>
        <v>163</v>
      </c>
      <c r="C21" s="3">
        <f>SUM(C19:C20)</f>
        <v>182</v>
      </c>
      <c r="D21" s="3">
        <f>SUM(D19:D20)</f>
        <v>110</v>
      </c>
    </row>
    <row r="22" spans="1:4" x14ac:dyDescent="0.25">
      <c r="A22" s="1" t="s">
        <v>59</v>
      </c>
      <c r="B22" s="3">
        <f>B16-B21</f>
        <v>5755</v>
      </c>
      <c r="C22" s="3">
        <f>C16-C21</f>
        <v>4632</v>
      </c>
      <c r="D22" s="3">
        <f>D16-D21</f>
        <v>5108</v>
      </c>
    </row>
    <row r="23" spans="1:4" x14ac:dyDescent="0.25">
      <c r="A23" s="1" t="s">
        <v>60</v>
      </c>
      <c r="B23" s="3">
        <v>1592</v>
      </c>
      <c r="C23" s="3">
        <v>1388</v>
      </c>
      <c r="D23" s="3">
        <v>1588</v>
      </c>
    </row>
    <row r="24" spans="1:4" x14ac:dyDescent="0.25">
      <c r="A24" s="1" t="s">
        <v>61</v>
      </c>
      <c r="B24" s="3">
        <f>B22-B23</f>
        <v>4163</v>
      </c>
      <c r="C24" s="3">
        <f>C22-C23</f>
        <v>3244</v>
      </c>
      <c r="D24" s="3">
        <f>D22-D23</f>
        <v>3520</v>
      </c>
    </row>
    <row r="25" spans="1:4" x14ac:dyDescent="0.25">
      <c r="A25" s="1" t="s">
        <v>62</v>
      </c>
      <c r="B25" s="3">
        <v>78</v>
      </c>
      <c r="C25" s="3">
        <v>51</v>
      </c>
      <c r="D25" s="3">
        <v>60</v>
      </c>
    </row>
    <row r="26" spans="1:4" x14ac:dyDescent="0.25">
      <c r="A26" s="1" t="s">
        <v>63</v>
      </c>
      <c r="B26" s="3">
        <f>B24-B25</f>
        <v>4085</v>
      </c>
      <c r="C26" s="3">
        <f>C24-C25</f>
        <v>3193</v>
      </c>
      <c r="D26" s="3">
        <f>D24-D25</f>
        <v>3460</v>
      </c>
    </row>
    <row r="27" spans="1:4" x14ac:dyDescent="0.25">
      <c r="B27" s="3"/>
      <c r="C27" s="3"/>
      <c r="D27" s="3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="90" zoomScaleNormal="90" workbookViewId="0">
      <selection activeCell="C24" sqref="C24"/>
    </sheetView>
  </sheetViews>
  <sheetFormatPr baseColWidth="10" defaultRowHeight="15" x14ac:dyDescent="0.25"/>
  <cols>
    <col min="1" max="1" width="42.5703125" style="1" customWidth="1"/>
    <col min="2" max="4" width="11.42578125" style="1"/>
    <col min="5" max="5" width="3.140625" style="1" customWidth="1"/>
    <col min="6" max="16384" width="11.42578125" style="1"/>
  </cols>
  <sheetData>
    <row r="1" spans="1:8" x14ac:dyDescent="0.25">
      <c r="A1" s="40" t="s">
        <v>0</v>
      </c>
      <c r="B1" s="40"/>
      <c r="C1" s="40"/>
      <c r="D1" s="40"/>
    </row>
    <row r="2" spans="1:8" x14ac:dyDescent="0.25">
      <c r="A2" s="40" t="s">
        <v>1</v>
      </c>
      <c r="B2" s="40"/>
      <c r="C2" s="40"/>
      <c r="D2" s="40"/>
    </row>
    <row r="3" spans="1:8" x14ac:dyDescent="0.25">
      <c r="F3" s="40" t="s">
        <v>68</v>
      </c>
      <c r="G3" s="40"/>
      <c r="H3" s="40"/>
    </row>
    <row r="4" spans="1:8" x14ac:dyDescent="0.25">
      <c r="A4" s="1" t="s">
        <v>2</v>
      </c>
      <c r="B4" s="2">
        <v>2010</v>
      </c>
      <c r="C4" s="2">
        <v>2009</v>
      </c>
      <c r="D4" s="2">
        <v>2008</v>
      </c>
      <c r="F4" s="2">
        <v>2010</v>
      </c>
      <c r="G4" s="2">
        <v>2009</v>
      </c>
      <c r="H4" s="2">
        <v>2008</v>
      </c>
    </row>
    <row r="5" spans="1:8" x14ac:dyDescent="0.25">
      <c r="A5" s="1" t="s">
        <v>9</v>
      </c>
    </row>
    <row r="7" spans="1:8" x14ac:dyDescent="0.25">
      <c r="A7" s="1" t="s">
        <v>47</v>
      </c>
      <c r="B7" s="3">
        <v>26662</v>
      </c>
      <c r="C7" s="3">
        <v>23123</v>
      </c>
      <c r="D7" s="3">
        <v>25269</v>
      </c>
      <c r="F7" s="11">
        <f>B7/$B$7</f>
        <v>1</v>
      </c>
      <c r="G7" s="11">
        <f>C7/$C$7</f>
        <v>1</v>
      </c>
      <c r="H7" s="11">
        <f>D7/$D$7</f>
        <v>1</v>
      </c>
    </row>
    <row r="8" spans="1:8" x14ac:dyDescent="0.25">
      <c r="A8" s="1" t="s">
        <v>48</v>
      </c>
      <c r="B8" s="3"/>
      <c r="C8" s="3"/>
      <c r="D8" s="3"/>
      <c r="F8" s="11"/>
      <c r="G8" s="11"/>
      <c r="H8" s="11"/>
    </row>
    <row r="9" spans="1:8" x14ac:dyDescent="0.25">
      <c r="A9" s="1" t="s">
        <v>49</v>
      </c>
      <c r="B9" s="3">
        <v>13831</v>
      </c>
      <c r="C9" s="3">
        <v>12109</v>
      </c>
      <c r="D9" s="3">
        <v>13379</v>
      </c>
      <c r="F9" s="11">
        <f t="shared" ref="F9:F26" si="0">B9/$B$7</f>
        <v>0.51875328182431923</v>
      </c>
      <c r="G9" s="11">
        <f t="shared" ref="G9:G26" si="1">C9/$C$7</f>
        <v>0.52367772347878738</v>
      </c>
      <c r="H9" s="11">
        <f t="shared" ref="H9:H26" si="2">D9/$D$7</f>
        <v>0.52946297835292255</v>
      </c>
    </row>
    <row r="10" spans="1:8" x14ac:dyDescent="0.25">
      <c r="A10" s="4" t="s">
        <v>66</v>
      </c>
      <c r="B10" s="3">
        <f>B7-B9</f>
        <v>12831</v>
      </c>
      <c r="C10" s="3">
        <f>C7-C9</f>
        <v>11014</v>
      </c>
      <c r="D10" s="3">
        <f>D7-D9</f>
        <v>11890</v>
      </c>
      <c r="F10" s="11">
        <f t="shared" si="0"/>
        <v>0.48124671817568077</v>
      </c>
      <c r="G10" s="11">
        <f t="shared" si="1"/>
        <v>0.47632227652121267</v>
      </c>
      <c r="H10" s="11">
        <f t="shared" si="2"/>
        <v>0.47053702164707745</v>
      </c>
    </row>
    <row r="11" spans="1:8" x14ac:dyDescent="0.25">
      <c r="B11" s="3"/>
      <c r="C11" s="3"/>
      <c r="D11" s="3"/>
      <c r="F11" s="11"/>
      <c r="G11" s="11"/>
      <c r="H11" s="11"/>
    </row>
    <row r="12" spans="1:8" x14ac:dyDescent="0.25">
      <c r="A12" s="1" t="s">
        <v>50</v>
      </c>
      <c r="B12" s="3">
        <v>5479</v>
      </c>
      <c r="C12" s="3">
        <v>4907</v>
      </c>
      <c r="D12" s="3">
        <v>5245</v>
      </c>
      <c r="F12" s="11">
        <f t="shared" si="0"/>
        <v>0.20549846223089041</v>
      </c>
      <c r="G12" s="11">
        <f t="shared" si="1"/>
        <v>0.21221294814686675</v>
      </c>
      <c r="H12" s="11">
        <f t="shared" si="2"/>
        <v>0.20756658356088487</v>
      </c>
    </row>
    <row r="13" spans="1:8" x14ac:dyDescent="0.25">
      <c r="A13" s="1" t="s">
        <v>51</v>
      </c>
      <c r="B13" s="3">
        <v>1434</v>
      </c>
      <c r="C13" s="3">
        <v>1293</v>
      </c>
      <c r="D13" s="3">
        <v>1404</v>
      </c>
      <c r="F13" s="11">
        <f t="shared" si="0"/>
        <v>5.3784412272147628E-2</v>
      </c>
      <c r="G13" s="11">
        <f t="shared" si="1"/>
        <v>5.5918349695108768E-2</v>
      </c>
      <c r="H13" s="11">
        <f t="shared" si="2"/>
        <v>5.5562151252522854E-2</v>
      </c>
    </row>
    <row r="14" spans="1:8" x14ac:dyDescent="0.25">
      <c r="A14" s="1" t="s">
        <v>52</v>
      </c>
      <c r="B14" s="3"/>
      <c r="C14" s="3"/>
      <c r="D14" s="3">
        <v>23</v>
      </c>
      <c r="F14" s="11"/>
      <c r="G14" s="11"/>
      <c r="H14" s="11">
        <f t="shared" si="2"/>
        <v>9.1020618148719777E-4</v>
      </c>
    </row>
    <row r="15" spans="1:8" x14ac:dyDescent="0.25">
      <c r="A15" s="1" t="s">
        <v>53</v>
      </c>
      <c r="B15" s="3">
        <f>SUM(B12:B14)</f>
        <v>6913</v>
      </c>
      <c r="C15" s="3">
        <f>SUM(C12:C14)</f>
        <v>6200</v>
      </c>
      <c r="D15" s="3">
        <f>SUM(D12:D14)</f>
        <v>6672</v>
      </c>
      <c r="F15" s="11">
        <f t="shared" si="0"/>
        <v>0.25928287450303805</v>
      </c>
      <c r="G15" s="11">
        <f t="shared" si="1"/>
        <v>0.26813129784197554</v>
      </c>
      <c r="H15" s="11">
        <f t="shared" si="2"/>
        <v>0.26403894099489494</v>
      </c>
    </row>
    <row r="16" spans="1:8" x14ac:dyDescent="0.25">
      <c r="A16" s="4" t="s">
        <v>54</v>
      </c>
      <c r="B16" s="3">
        <f>B10-B15</f>
        <v>5918</v>
      </c>
      <c r="C16" s="3">
        <f>C10-C15</f>
        <v>4814</v>
      </c>
      <c r="D16" s="3">
        <f>D10-D15</f>
        <v>5218</v>
      </c>
      <c r="F16" s="11">
        <f t="shared" si="0"/>
        <v>0.22196384367264271</v>
      </c>
      <c r="G16" s="11">
        <f t="shared" si="1"/>
        <v>0.20819097867923711</v>
      </c>
      <c r="H16" s="11">
        <f t="shared" si="2"/>
        <v>0.2064980806521825</v>
      </c>
    </row>
    <row r="17" spans="1:8" x14ac:dyDescent="0.25">
      <c r="B17" s="3"/>
      <c r="C17" s="3"/>
      <c r="D17" s="3"/>
      <c r="F17" s="11"/>
      <c r="G17" s="11"/>
      <c r="H17" s="11"/>
    </row>
    <row r="18" spans="1:8" x14ac:dyDescent="0.25">
      <c r="A18" s="1" t="s">
        <v>55</v>
      </c>
      <c r="B18" s="3"/>
      <c r="C18" s="3"/>
      <c r="D18" s="3"/>
      <c r="F18" s="11"/>
      <c r="G18" s="11"/>
      <c r="H18" s="11"/>
    </row>
    <row r="19" spans="1:8" x14ac:dyDescent="0.25">
      <c r="A19" s="1" t="s">
        <v>56</v>
      </c>
      <c r="B19" s="3">
        <v>201</v>
      </c>
      <c r="C19" s="3">
        <v>219</v>
      </c>
      <c r="D19" s="3">
        <v>215</v>
      </c>
      <c r="F19" s="11">
        <f t="shared" si="0"/>
        <v>7.538819293376341E-3</v>
      </c>
      <c r="G19" s="11">
        <f t="shared" si="1"/>
        <v>9.4710893915149422E-3</v>
      </c>
      <c r="H19" s="11">
        <f t="shared" si="2"/>
        <v>8.5084490878151089E-3</v>
      </c>
    </row>
    <row r="20" spans="1:8" x14ac:dyDescent="0.25">
      <c r="A20" s="1" t="s">
        <v>57</v>
      </c>
      <c r="B20" s="3">
        <v>-38</v>
      </c>
      <c r="C20" s="3">
        <v>-37</v>
      </c>
      <c r="D20" s="3">
        <v>-105</v>
      </c>
      <c r="F20" s="11">
        <f t="shared" si="0"/>
        <v>-1.4252494186482634E-3</v>
      </c>
      <c r="G20" s="11">
        <f t="shared" si="1"/>
        <v>-1.6001383903472732E-3</v>
      </c>
      <c r="H20" s="11">
        <f t="shared" si="2"/>
        <v>-4.155289089398077E-3</v>
      </c>
    </row>
    <row r="21" spans="1:8" x14ac:dyDescent="0.25">
      <c r="A21" s="1" t="s">
        <v>58</v>
      </c>
      <c r="B21" s="3">
        <f>SUM(B19:B20)</f>
        <v>163</v>
      </c>
      <c r="C21" s="3">
        <f>SUM(C19:C20)</f>
        <v>182</v>
      </c>
      <c r="D21" s="3">
        <f>SUM(D19:D20)</f>
        <v>110</v>
      </c>
      <c r="F21" s="11">
        <f t="shared" si="0"/>
        <v>6.1135698747280774E-3</v>
      </c>
      <c r="G21" s="11">
        <f t="shared" si="1"/>
        <v>7.8709510011676677E-3</v>
      </c>
      <c r="H21" s="11">
        <f t="shared" si="2"/>
        <v>4.3531599984170328E-3</v>
      </c>
    </row>
    <row r="22" spans="1:8" x14ac:dyDescent="0.25">
      <c r="A22" s="1" t="s">
        <v>59</v>
      </c>
      <c r="B22" s="3">
        <f>B16-B21</f>
        <v>5755</v>
      </c>
      <c r="C22" s="3">
        <f>C16-C21</f>
        <v>4632</v>
      </c>
      <c r="D22" s="3">
        <f>D16-D21</f>
        <v>5108</v>
      </c>
      <c r="F22" s="11">
        <f t="shared" si="0"/>
        <v>0.21585027379791463</v>
      </c>
      <c r="G22" s="11">
        <f t="shared" si="1"/>
        <v>0.20032002767806945</v>
      </c>
      <c r="H22" s="11">
        <f t="shared" si="2"/>
        <v>0.20214492065376549</v>
      </c>
    </row>
    <row r="23" spans="1:8" x14ac:dyDescent="0.25">
      <c r="A23" s="1" t="s">
        <v>60</v>
      </c>
      <c r="B23" s="3">
        <v>1592</v>
      </c>
      <c r="C23" s="3">
        <v>1388</v>
      </c>
      <c r="D23" s="3">
        <v>1588</v>
      </c>
      <c r="F23" s="11">
        <f t="shared" si="0"/>
        <v>5.9710449328632509E-2</v>
      </c>
      <c r="G23" s="11">
        <f t="shared" si="1"/>
        <v>6.0026813129784196E-2</v>
      </c>
      <c r="H23" s="11">
        <f t="shared" si="2"/>
        <v>6.284380070442043E-2</v>
      </c>
    </row>
    <row r="24" spans="1:8" x14ac:dyDescent="0.25">
      <c r="A24" s="1" t="s">
        <v>61</v>
      </c>
      <c r="B24" s="3">
        <f>B22-B23</f>
        <v>4163</v>
      </c>
      <c r="C24" s="3">
        <f>C22-C23</f>
        <v>3244</v>
      </c>
      <c r="D24" s="3">
        <f>D22-D23</f>
        <v>3520</v>
      </c>
      <c r="F24" s="11">
        <f t="shared" si="0"/>
        <v>0.15613982446928212</v>
      </c>
      <c r="G24" s="11">
        <f t="shared" si="1"/>
        <v>0.14029321454828525</v>
      </c>
      <c r="H24" s="11">
        <f t="shared" si="2"/>
        <v>0.13930111994934505</v>
      </c>
    </row>
    <row r="25" spans="1:8" x14ac:dyDescent="0.25">
      <c r="A25" s="1" t="s">
        <v>62</v>
      </c>
      <c r="B25" s="3">
        <v>78</v>
      </c>
      <c r="C25" s="3">
        <v>51</v>
      </c>
      <c r="D25" s="3">
        <v>60</v>
      </c>
      <c r="F25" s="11">
        <f t="shared" si="0"/>
        <v>2.9255119645938037E-3</v>
      </c>
      <c r="G25" s="11">
        <f t="shared" si="1"/>
        <v>2.2055961596678633E-3</v>
      </c>
      <c r="H25" s="11">
        <f t="shared" si="2"/>
        <v>2.3744509082274726E-3</v>
      </c>
    </row>
    <row r="26" spans="1:8" x14ac:dyDescent="0.25">
      <c r="A26" s="1" t="s">
        <v>63</v>
      </c>
      <c r="B26" s="3">
        <f>B24-B25</f>
        <v>4085</v>
      </c>
      <c r="C26" s="3">
        <f>C24-C25</f>
        <v>3193</v>
      </c>
      <c r="D26" s="3">
        <f>D24-D25</f>
        <v>3460</v>
      </c>
      <c r="F26" s="11">
        <f t="shared" si="0"/>
        <v>0.15321431250468831</v>
      </c>
      <c r="G26" s="11">
        <f t="shared" si="1"/>
        <v>0.13808761838861738</v>
      </c>
      <c r="H26" s="11">
        <f t="shared" si="2"/>
        <v>0.13692666904111758</v>
      </c>
    </row>
    <row r="27" spans="1:8" x14ac:dyDescent="0.25">
      <c r="B27" s="3"/>
      <c r="C27" s="3"/>
      <c r="D27" s="3"/>
    </row>
  </sheetData>
  <mergeCells count="3">
    <mergeCell ref="A1:D1"/>
    <mergeCell ref="A2:D2"/>
    <mergeCell ref="F3:H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="90" zoomScaleNormal="90" workbookViewId="0">
      <selection activeCell="B13" sqref="B13"/>
    </sheetView>
  </sheetViews>
  <sheetFormatPr baseColWidth="10" defaultRowHeight="15" x14ac:dyDescent="0.25"/>
  <cols>
    <col min="1" max="1" width="40.140625" style="1" customWidth="1"/>
    <col min="2" max="4" width="11.42578125" style="1"/>
    <col min="5" max="5" width="2.42578125" style="1" customWidth="1"/>
    <col min="6" max="16384" width="11.42578125" style="1"/>
  </cols>
  <sheetData>
    <row r="1" spans="1:8" x14ac:dyDescent="0.25">
      <c r="A1" s="40" t="s">
        <v>0</v>
      </c>
      <c r="B1" s="40"/>
      <c r="C1" s="40"/>
      <c r="D1" s="40"/>
    </row>
    <row r="2" spans="1:8" x14ac:dyDescent="0.25">
      <c r="A2" s="40" t="s">
        <v>1</v>
      </c>
      <c r="B2" s="40"/>
      <c r="C2" s="40"/>
      <c r="D2" s="40"/>
    </row>
    <row r="3" spans="1:8" x14ac:dyDescent="0.25">
      <c r="F3" s="41" t="s">
        <v>69</v>
      </c>
      <c r="G3" s="41"/>
      <c r="H3" s="41"/>
    </row>
    <row r="4" spans="1:8" x14ac:dyDescent="0.25">
      <c r="A4" s="1" t="s">
        <v>2</v>
      </c>
      <c r="B4" s="2">
        <v>2010</v>
      </c>
      <c r="C4" s="2">
        <v>2009</v>
      </c>
      <c r="D4" s="2">
        <v>2008</v>
      </c>
      <c r="F4" s="2">
        <v>2010</v>
      </c>
      <c r="G4" s="2">
        <v>2009</v>
      </c>
      <c r="H4" s="2">
        <v>2008</v>
      </c>
    </row>
    <row r="5" spans="1:8" x14ac:dyDescent="0.25">
      <c r="A5" s="1" t="s">
        <v>9</v>
      </c>
    </row>
    <row r="7" spans="1:8" x14ac:dyDescent="0.25">
      <c r="A7" s="1" t="s">
        <v>47</v>
      </c>
      <c r="B7" s="3">
        <v>26662</v>
      </c>
      <c r="C7" s="3">
        <v>23123</v>
      </c>
      <c r="D7" s="3">
        <v>25269</v>
      </c>
      <c r="F7" s="11">
        <f>B7/D7</f>
        <v>1.0551268352526812</v>
      </c>
      <c r="G7" s="11">
        <f>(C7/D7)</f>
        <v>0.91507380584906406</v>
      </c>
      <c r="H7" s="11">
        <f>D7/D7</f>
        <v>1</v>
      </c>
    </row>
    <row r="8" spans="1:8" x14ac:dyDescent="0.25">
      <c r="A8" s="1" t="s">
        <v>48</v>
      </c>
      <c r="B8" s="3"/>
      <c r="C8" s="3"/>
      <c r="D8" s="3"/>
      <c r="F8" s="11"/>
      <c r="G8" s="11"/>
      <c r="H8" s="11"/>
    </row>
    <row r="9" spans="1:8" x14ac:dyDescent="0.25">
      <c r="A9" s="1" t="s">
        <v>49</v>
      </c>
      <c r="B9" s="3">
        <v>13831</v>
      </c>
      <c r="C9" s="3">
        <v>12109</v>
      </c>
      <c r="D9" s="3">
        <v>13379</v>
      </c>
      <c r="F9" s="11">
        <f t="shared" ref="F9:F26" si="0">B9/D9</f>
        <v>1.0337842888108228</v>
      </c>
      <c r="G9" s="11">
        <f t="shared" ref="G9:G26" si="1">(C9/D9)</f>
        <v>0.90507511772180282</v>
      </c>
      <c r="H9" s="11">
        <f t="shared" ref="H9:H26" si="2">D9/D9</f>
        <v>1</v>
      </c>
    </row>
    <row r="10" spans="1:8" x14ac:dyDescent="0.25">
      <c r="A10" s="4" t="s">
        <v>66</v>
      </c>
      <c r="B10" s="3">
        <f>B7-B9</f>
        <v>12831</v>
      </c>
      <c r="C10" s="3">
        <f>C7-C9</f>
        <v>11014</v>
      </c>
      <c r="D10" s="3">
        <f>D7-D9</f>
        <v>11890</v>
      </c>
      <c r="F10" s="11">
        <f t="shared" si="0"/>
        <v>1.0791421362489486</v>
      </c>
      <c r="G10" s="11">
        <f t="shared" si="1"/>
        <v>0.92632464255677038</v>
      </c>
      <c r="H10" s="11">
        <f t="shared" si="2"/>
        <v>1</v>
      </c>
    </row>
    <row r="11" spans="1:8" x14ac:dyDescent="0.25">
      <c r="B11" s="3"/>
      <c r="C11" s="3"/>
      <c r="D11" s="3"/>
      <c r="F11" s="11"/>
      <c r="G11" s="11"/>
      <c r="H11" s="11"/>
    </row>
    <row r="12" spans="1:8" x14ac:dyDescent="0.25">
      <c r="A12" s="1" t="s">
        <v>50</v>
      </c>
      <c r="B12" s="3">
        <v>5479</v>
      </c>
      <c r="C12" s="3">
        <v>4907</v>
      </c>
      <c r="D12" s="3">
        <v>5245</v>
      </c>
      <c r="F12" s="11">
        <f t="shared" si="0"/>
        <v>1.0446139180171592</v>
      </c>
      <c r="G12" s="11">
        <f t="shared" si="1"/>
        <v>0.9355576739752145</v>
      </c>
      <c r="H12" s="11">
        <f t="shared" si="2"/>
        <v>1</v>
      </c>
    </row>
    <row r="13" spans="1:8" x14ac:dyDescent="0.25">
      <c r="A13" s="1" t="s">
        <v>51</v>
      </c>
      <c r="B13" s="3">
        <v>1434</v>
      </c>
      <c r="C13" s="3">
        <v>1293</v>
      </c>
      <c r="D13" s="3">
        <v>1404</v>
      </c>
      <c r="F13" s="11">
        <f t="shared" si="0"/>
        <v>1.0213675213675213</v>
      </c>
      <c r="G13" s="11">
        <f t="shared" si="1"/>
        <v>0.92094017094017089</v>
      </c>
      <c r="H13" s="11">
        <f t="shared" si="2"/>
        <v>1</v>
      </c>
    </row>
    <row r="14" spans="1:8" x14ac:dyDescent="0.25">
      <c r="A14" s="1" t="s">
        <v>52</v>
      </c>
      <c r="B14" s="3"/>
      <c r="C14" s="3"/>
      <c r="D14" s="3">
        <v>23</v>
      </c>
      <c r="F14" s="11">
        <f t="shared" si="0"/>
        <v>0</v>
      </c>
      <c r="G14" s="11">
        <f t="shared" si="1"/>
        <v>0</v>
      </c>
      <c r="H14" s="11">
        <f t="shared" si="2"/>
        <v>1</v>
      </c>
    </row>
    <row r="15" spans="1:8" x14ac:dyDescent="0.25">
      <c r="A15" s="1" t="s">
        <v>53</v>
      </c>
      <c r="B15" s="3">
        <f>SUM(B12:B14)</f>
        <v>6913</v>
      </c>
      <c r="C15" s="3">
        <f>SUM(C12:C14)</f>
        <v>6200</v>
      </c>
      <c r="D15" s="3">
        <f>SUM(D12:D14)</f>
        <v>6672</v>
      </c>
      <c r="F15" s="11">
        <f t="shared" si="0"/>
        <v>1.0361211031175059</v>
      </c>
      <c r="G15" s="11">
        <f t="shared" si="1"/>
        <v>0.92925659472422062</v>
      </c>
      <c r="H15" s="11">
        <f t="shared" si="2"/>
        <v>1</v>
      </c>
    </row>
    <row r="16" spans="1:8" x14ac:dyDescent="0.25">
      <c r="A16" s="4" t="s">
        <v>54</v>
      </c>
      <c r="B16" s="3">
        <f>B10-B15</f>
        <v>5918</v>
      </c>
      <c r="C16" s="3">
        <f>C10-C15</f>
        <v>4814</v>
      </c>
      <c r="D16" s="3">
        <f>D10-D15</f>
        <v>5218</v>
      </c>
      <c r="F16" s="11">
        <f t="shared" si="0"/>
        <v>1.1341510157148333</v>
      </c>
      <c r="G16" s="11">
        <f t="shared" si="1"/>
        <v>0.9225756995017248</v>
      </c>
      <c r="H16" s="11">
        <f t="shared" si="2"/>
        <v>1</v>
      </c>
    </row>
    <row r="17" spans="1:8" x14ac:dyDescent="0.25">
      <c r="B17" s="3"/>
      <c r="C17" s="3"/>
      <c r="D17" s="3"/>
      <c r="F17" s="11"/>
      <c r="G17" s="11"/>
      <c r="H17" s="11"/>
    </row>
    <row r="18" spans="1:8" x14ac:dyDescent="0.25">
      <c r="A18" s="1" t="s">
        <v>55</v>
      </c>
      <c r="B18" s="3"/>
      <c r="C18" s="3"/>
      <c r="D18" s="3"/>
      <c r="F18" s="11"/>
      <c r="G18" s="11"/>
      <c r="H18" s="11"/>
    </row>
    <row r="19" spans="1:8" x14ac:dyDescent="0.25">
      <c r="A19" s="1" t="s">
        <v>56</v>
      </c>
      <c r="B19" s="3">
        <v>201</v>
      </c>
      <c r="C19" s="3">
        <v>219</v>
      </c>
      <c r="D19" s="3">
        <v>215</v>
      </c>
      <c r="F19" s="11">
        <f t="shared" si="0"/>
        <v>0.93488372093023253</v>
      </c>
      <c r="G19" s="11">
        <f t="shared" si="1"/>
        <v>1.0186046511627906</v>
      </c>
      <c r="H19" s="11">
        <f t="shared" si="2"/>
        <v>1</v>
      </c>
    </row>
    <row r="20" spans="1:8" x14ac:dyDescent="0.25">
      <c r="A20" s="1" t="s">
        <v>57</v>
      </c>
      <c r="B20" s="3">
        <v>-38</v>
      </c>
      <c r="C20" s="3">
        <v>-37</v>
      </c>
      <c r="D20" s="3">
        <v>-105</v>
      </c>
      <c r="F20" s="11">
        <f t="shared" si="0"/>
        <v>0.3619047619047619</v>
      </c>
      <c r="G20" s="11">
        <f t="shared" si="1"/>
        <v>0.35238095238095241</v>
      </c>
      <c r="H20" s="11">
        <f t="shared" si="2"/>
        <v>1</v>
      </c>
    </row>
    <row r="21" spans="1:8" x14ac:dyDescent="0.25">
      <c r="A21" s="1" t="s">
        <v>58</v>
      </c>
      <c r="B21" s="3">
        <f>SUM(B19:B20)</f>
        <v>163</v>
      </c>
      <c r="C21" s="3">
        <f>SUM(C19:C20)</f>
        <v>182</v>
      </c>
      <c r="D21" s="3">
        <f>SUM(D19:D20)</f>
        <v>110</v>
      </c>
      <c r="F21" s="11">
        <f t="shared" si="0"/>
        <v>1.4818181818181819</v>
      </c>
      <c r="G21" s="11">
        <f t="shared" si="1"/>
        <v>1.6545454545454545</v>
      </c>
      <c r="H21" s="11">
        <f t="shared" si="2"/>
        <v>1</v>
      </c>
    </row>
    <row r="22" spans="1:8" x14ac:dyDescent="0.25">
      <c r="A22" s="1" t="s">
        <v>59</v>
      </c>
      <c r="B22" s="3">
        <f>B16-B21</f>
        <v>5755</v>
      </c>
      <c r="C22" s="3">
        <f>C16-C21</f>
        <v>4632</v>
      </c>
      <c r="D22" s="3">
        <f>D16-D21</f>
        <v>5108</v>
      </c>
      <c r="F22" s="11">
        <f t="shared" si="0"/>
        <v>1.1266640563821457</v>
      </c>
      <c r="G22" s="11">
        <f t="shared" si="1"/>
        <v>0.90681284259984341</v>
      </c>
      <c r="H22" s="11">
        <f t="shared" si="2"/>
        <v>1</v>
      </c>
    </row>
    <row r="23" spans="1:8" x14ac:dyDescent="0.25">
      <c r="A23" s="1" t="s">
        <v>60</v>
      </c>
      <c r="B23" s="3">
        <v>1592</v>
      </c>
      <c r="C23" s="3">
        <v>1388</v>
      </c>
      <c r="D23" s="3">
        <v>1588</v>
      </c>
      <c r="F23" s="11">
        <f t="shared" si="0"/>
        <v>1.0025188916876575</v>
      </c>
      <c r="G23" s="11">
        <f t="shared" si="1"/>
        <v>0.87405541561712852</v>
      </c>
      <c r="H23" s="11">
        <f t="shared" si="2"/>
        <v>1</v>
      </c>
    </row>
    <row r="24" spans="1:8" x14ac:dyDescent="0.25">
      <c r="A24" s="1" t="s">
        <v>61</v>
      </c>
      <c r="B24" s="3">
        <f>B22-B23</f>
        <v>4163</v>
      </c>
      <c r="C24" s="3">
        <f>C22-C23</f>
        <v>3244</v>
      </c>
      <c r="D24" s="3">
        <f>D22-D23</f>
        <v>3520</v>
      </c>
      <c r="F24" s="11">
        <f t="shared" si="0"/>
        <v>1.1826704545454545</v>
      </c>
      <c r="G24" s="11">
        <f t="shared" si="1"/>
        <v>0.92159090909090913</v>
      </c>
      <c r="H24" s="11">
        <f t="shared" si="2"/>
        <v>1</v>
      </c>
    </row>
    <row r="25" spans="1:8" x14ac:dyDescent="0.25">
      <c r="A25" s="1" t="s">
        <v>62</v>
      </c>
      <c r="B25" s="3">
        <v>78</v>
      </c>
      <c r="C25" s="3">
        <v>51</v>
      </c>
      <c r="D25" s="3">
        <v>60</v>
      </c>
      <c r="F25" s="11">
        <f t="shared" si="0"/>
        <v>1.3</v>
      </c>
      <c r="G25" s="11">
        <f t="shared" si="1"/>
        <v>0.85</v>
      </c>
      <c r="H25" s="11">
        <f t="shared" si="2"/>
        <v>1</v>
      </c>
    </row>
    <row r="26" spans="1:8" x14ac:dyDescent="0.25">
      <c r="A26" s="1" t="s">
        <v>63</v>
      </c>
      <c r="B26" s="3">
        <f>B24-B25</f>
        <v>4085</v>
      </c>
      <c r="C26" s="3">
        <f>C24-C25</f>
        <v>3193</v>
      </c>
      <c r="D26" s="3">
        <f>D24-D25</f>
        <v>3460</v>
      </c>
      <c r="F26" s="11">
        <f t="shared" si="0"/>
        <v>1.1806358381502891</v>
      </c>
      <c r="G26" s="11">
        <f t="shared" si="1"/>
        <v>0.92283236994219653</v>
      </c>
      <c r="H26" s="11">
        <f t="shared" si="2"/>
        <v>1</v>
      </c>
    </row>
    <row r="27" spans="1:8" x14ac:dyDescent="0.25">
      <c r="B27" s="3"/>
      <c r="C27" s="3"/>
      <c r="D27" s="3"/>
    </row>
  </sheetData>
  <mergeCells count="3">
    <mergeCell ref="A1:D1"/>
    <mergeCell ref="A2:D2"/>
    <mergeCell ref="F3:H3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"/>
  <sheetViews>
    <sheetView zoomScale="90" zoomScaleNormal="90" workbookViewId="0">
      <selection activeCell="A28" sqref="A28"/>
    </sheetView>
  </sheetViews>
  <sheetFormatPr baseColWidth="10" defaultRowHeight="15" x14ac:dyDescent="0.25"/>
  <cols>
    <col min="1" max="1" width="56.42578125" style="1" bestFit="1" customWidth="1"/>
    <col min="2" max="3" width="11.42578125" style="5"/>
    <col min="4" max="16384" width="11.42578125" style="1"/>
  </cols>
  <sheetData>
    <row r="1" spans="1:4" x14ac:dyDescent="0.25">
      <c r="A1" s="40" t="s">
        <v>0</v>
      </c>
      <c r="B1" s="40"/>
      <c r="C1" s="40"/>
      <c r="D1" s="40"/>
    </row>
    <row r="2" spans="1:4" x14ac:dyDescent="0.25">
      <c r="A2" s="40" t="s">
        <v>1</v>
      </c>
      <c r="B2" s="40"/>
      <c r="C2" s="40"/>
      <c r="D2" s="40"/>
    </row>
    <row r="3" spans="1:4" x14ac:dyDescent="0.25">
      <c r="A3" s="40" t="s">
        <v>3</v>
      </c>
      <c r="B3" s="40"/>
      <c r="C3" s="40"/>
      <c r="D3" s="40"/>
    </row>
    <row r="5" spans="1:4" x14ac:dyDescent="0.25">
      <c r="B5" s="5" t="s">
        <v>65</v>
      </c>
      <c r="C5" s="5" t="s">
        <v>65</v>
      </c>
    </row>
    <row r="6" spans="1:4" x14ac:dyDescent="0.25">
      <c r="A6" s="1" t="s">
        <v>64</v>
      </c>
      <c r="B6" s="5">
        <v>2010</v>
      </c>
      <c r="C6" s="5">
        <v>2009</v>
      </c>
      <c r="D6" s="3"/>
    </row>
    <row r="7" spans="1:4" x14ac:dyDescent="0.25">
      <c r="A7" s="4" t="s">
        <v>4</v>
      </c>
      <c r="B7" s="6"/>
      <c r="C7" s="6"/>
      <c r="D7" s="3"/>
    </row>
    <row r="8" spans="1:4" x14ac:dyDescent="0.25">
      <c r="A8" s="4" t="s">
        <v>5</v>
      </c>
      <c r="B8" s="6"/>
      <c r="C8" s="6"/>
      <c r="D8" s="3"/>
    </row>
    <row r="9" spans="1:4" x14ac:dyDescent="0.25">
      <c r="A9" s="1" t="s">
        <v>10</v>
      </c>
      <c r="B9" s="6">
        <v>3377</v>
      </c>
      <c r="C9" s="6">
        <v>3040</v>
      </c>
      <c r="D9" s="3"/>
    </row>
    <row r="10" spans="1:4" x14ac:dyDescent="0.25">
      <c r="A10" s="1" t="s">
        <v>11</v>
      </c>
      <c r="B10" s="6">
        <v>1101</v>
      </c>
      <c r="C10" s="6">
        <v>744</v>
      </c>
      <c r="D10" s="3"/>
    </row>
    <row r="11" spans="1:4" x14ac:dyDescent="0.25">
      <c r="A11" s="1" t="s">
        <v>67</v>
      </c>
      <c r="B11" s="6">
        <v>3615</v>
      </c>
      <c r="C11" s="6">
        <v>3250</v>
      </c>
      <c r="D11" s="3"/>
    </row>
    <row r="12" spans="1:4" x14ac:dyDescent="0.25">
      <c r="B12" s="6"/>
      <c r="C12" s="6"/>
      <c r="D12" s="3"/>
    </row>
    <row r="13" spans="1:4" x14ac:dyDescent="0.25">
      <c r="A13" s="1" t="s">
        <v>12</v>
      </c>
      <c r="B13" s="6"/>
      <c r="C13" s="6"/>
      <c r="D13" s="3"/>
    </row>
    <row r="14" spans="1:4" x14ac:dyDescent="0.25">
      <c r="A14" s="1" t="s">
        <v>13</v>
      </c>
      <c r="B14" s="6">
        <v>1476</v>
      </c>
      <c r="C14" s="6">
        <v>1255</v>
      </c>
      <c r="D14" s="3"/>
    </row>
    <row r="15" spans="1:4" x14ac:dyDescent="0.25">
      <c r="A15" s="1" t="s">
        <v>14</v>
      </c>
      <c r="B15" s="6">
        <v>950</v>
      </c>
      <c r="C15" s="6">
        <v>815</v>
      </c>
      <c r="D15" s="3"/>
    </row>
    <row r="16" spans="1:4" x14ac:dyDescent="0.25">
      <c r="A16" s="1" t="s">
        <v>15</v>
      </c>
      <c r="B16" s="6">
        <v>729</v>
      </c>
      <c r="C16" s="6">
        <v>569</v>
      </c>
      <c r="D16" s="3"/>
    </row>
    <row r="17" spans="1:4" x14ac:dyDescent="0.25">
      <c r="A17" s="1" t="s">
        <v>16</v>
      </c>
      <c r="B17" s="6">
        <f>SUM(B14:B16)</f>
        <v>3155</v>
      </c>
      <c r="C17" s="6">
        <f>SUM(C14:C16)</f>
        <v>2639</v>
      </c>
      <c r="D17" s="3"/>
    </row>
    <row r="18" spans="1:4" x14ac:dyDescent="0.25">
      <c r="B18" s="6"/>
      <c r="C18" s="6"/>
      <c r="D18" s="3"/>
    </row>
    <row r="19" spans="1:4" x14ac:dyDescent="0.25">
      <c r="A19" s="1" t="s">
        <v>17</v>
      </c>
      <c r="B19" s="6">
        <v>967</v>
      </c>
      <c r="C19" s="6">
        <v>1122</v>
      </c>
      <c r="D19" s="3"/>
    </row>
    <row r="20" spans="1:4" x14ac:dyDescent="0.25">
      <c r="A20" s="4" t="s">
        <v>18</v>
      </c>
      <c r="B20" s="6">
        <f>B9+B10+B11+B17+B19</f>
        <v>12215</v>
      </c>
      <c r="C20" s="6">
        <f>C9+C10+C11+C17+C19</f>
        <v>10795</v>
      </c>
      <c r="D20" s="3"/>
    </row>
    <row r="21" spans="1:4" x14ac:dyDescent="0.25">
      <c r="A21" s="4"/>
      <c r="B21" s="6"/>
      <c r="C21" s="6"/>
      <c r="D21" s="3"/>
    </row>
    <row r="22" spans="1:4" x14ac:dyDescent="0.25">
      <c r="A22" s="1" t="s">
        <v>19</v>
      </c>
      <c r="B22" s="6">
        <v>540</v>
      </c>
      <c r="C22" s="6">
        <v>825</v>
      </c>
      <c r="D22" s="3"/>
    </row>
    <row r="23" spans="1:4" x14ac:dyDescent="0.25">
      <c r="A23" s="1" t="s">
        <v>20</v>
      </c>
      <c r="B23" s="6">
        <v>146</v>
      </c>
      <c r="C23" s="6">
        <v>103</v>
      </c>
      <c r="D23" s="3"/>
    </row>
    <row r="24" spans="1:4" x14ac:dyDescent="0.25">
      <c r="A24" s="1" t="s">
        <v>21</v>
      </c>
      <c r="B24" s="6">
        <v>20253</v>
      </c>
      <c r="C24" s="6">
        <v>19440</v>
      </c>
      <c r="D24" s="3"/>
    </row>
    <row r="25" spans="1:4" x14ac:dyDescent="0.25">
      <c r="A25" s="1" t="s">
        <v>22</v>
      </c>
      <c r="B25" s="6">
        <v>-12974</v>
      </c>
      <c r="C25" s="6">
        <v>-12440</v>
      </c>
      <c r="D25" s="3"/>
    </row>
    <row r="26" spans="1:4" x14ac:dyDescent="0.25">
      <c r="A26" s="4" t="s">
        <v>23</v>
      </c>
      <c r="B26" s="6">
        <f>B24+B25</f>
        <v>7279</v>
      </c>
      <c r="C26" s="6">
        <f>C24+C25</f>
        <v>7000</v>
      </c>
      <c r="D26" s="3"/>
    </row>
    <row r="27" spans="1:4" x14ac:dyDescent="0.25">
      <c r="A27" s="1" t="s">
        <v>24</v>
      </c>
      <c r="B27" s="6">
        <v>6820</v>
      </c>
      <c r="C27" s="6">
        <v>5832</v>
      </c>
      <c r="D27" s="3"/>
    </row>
    <row r="28" spans="1:4" x14ac:dyDescent="0.25">
      <c r="A28" s="4" t="s">
        <v>25</v>
      </c>
      <c r="B28" s="6">
        <v>1820</v>
      </c>
      <c r="C28" s="6">
        <v>1342</v>
      </c>
      <c r="D28" s="3"/>
    </row>
    <row r="29" spans="1:4" x14ac:dyDescent="0.25">
      <c r="A29" s="1" t="s">
        <v>26</v>
      </c>
      <c r="B29" s="6">
        <v>74</v>
      </c>
      <c r="C29" s="6">
        <v>78</v>
      </c>
      <c r="D29" s="3"/>
    </row>
    <row r="30" spans="1:4" ht="15.75" thickBot="1" x14ac:dyDescent="0.3">
      <c r="A30" s="1" t="s">
        <v>27</v>
      </c>
      <c r="B30" s="6">
        <v>1262</v>
      </c>
      <c r="C30" s="6">
        <v>1275</v>
      </c>
      <c r="D30" s="3"/>
    </row>
    <row r="31" spans="1:4" ht="15.75" thickBot="1" x14ac:dyDescent="0.3">
      <c r="A31" s="7" t="s">
        <v>28</v>
      </c>
      <c r="B31" s="8">
        <f>B20+B22+B23+B26+B27+B28+B29+B30</f>
        <v>30156</v>
      </c>
      <c r="C31" s="9">
        <f>C20+C22+C23+C26+C27+C28+C29+C30</f>
        <v>27250</v>
      </c>
      <c r="D31" s="3"/>
    </row>
    <row r="32" spans="1:4" x14ac:dyDescent="0.25">
      <c r="B32" s="6"/>
      <c r="C32" s="6"/>
      <c r="D32" s="3"/>
    </row>
    <row r="33" spans="1:4" x14ac:dyDescent="0.25">
      <c r="A33" s="4" t="s">
        <v>6</v>
      </c>
      <c r="B33" s="6"/>
      <c r="C33" s="6"/>
      <c r="D33" s="3"/>
    </row>
    <row r="34" spans="1:4" x14ac:dyDescent="0.25">
      <c r="A34" s="4" t="s">
        <v>7</v>
      </c>
      <c r="B34" s="6"/>
      <c r="C34" s="6"/>
      <c r="D34" s="3"/>
    </row>
    <row r="35" spans="1:4" x14ac:dyDescent="0.25">
      <c r="A35" s="1" t="s">
        <v>29</v>
      </c>
      <c r="B35" s="6">
        <v>1269</v>
      </c>
      <c r="C35" s="6">
        <v>613</v>
      </c>
      <c r="D35" s="3"/>
    </row>
    <row r="36" spans="1:4" x14ac:dyDescent="0.25">
      <c r="A36" s="1" t="s">
        <v>30</v>
      </c>
      <c r="B36" s="6">
        <v>1662</v>
      </c>
      <c r="C36" s="6">
        <v>1453</v>
      </c>
      <c r="D36" s="3"/>
    </row>
    <row r="37" spans="1:4" x14ac:dyDescent="0.25">
      <c r="A37" s="1" t="s">
        <v>31</v>
      </c>
      <c r="B37" s="6">
        <v>778</v>
      </c>
      <c r="C37" s="6">
        <v>680</v>
      </c>
      <c r="D37" s="3"/>
    </row>
    <row r="38" spans="1:4" x14ac:dyDescent="0.25">
      <c r="A38" s="1" t="s">
        <v>32</v>
      </c>
      <c r="B38" s="6">
        <v>358</v>
      </c>
      <c r="C38" s="6">
        <v>252</v>
      </c>
      <c r="D38" s="3"/>
    </row>
    <row r="39" spans="1:4" x14ac:dyDescent="0.25">
      <c r="A39" s="1" t="s">
        <v>33</v>
      </c>
      <c r="B39" s="6">
        <v>2022</v>
      </c>
      <c r="C39" s="6">
        <v>1899</v>
      </c>
      <c r="D39" s="3"/>
    </row>
    <row r="40" spans="1:4" x14ac:dyDescent="0.25">
      <c r="A40" s="4" t="s">
        <v>34</v>
      </c>
      <c r="B40" s="6">
        <f>SUM(B35:B39)</f>
        <v>6089</v>
      </c>
      <c r="C40" s="6">
        <f>SUM(C35:C39)</f>
        <v>4897</v>
      </c>
      <c r="D40" s="3"/>
    </row>
    <row r="41" spans="1:4" x14ac:dyDescent="0.25">
      <c r="A41" s="1" t="s">
        <v>35</v>
      </c>
      <c r="B41" s="6">
        <v>4183</v>
      </c>
      <c r="C41" s="6">
        <v>5097</v>
      </c>
      <c r="D41" s="3"/>
    </row>
    <row r="42" spans="1:4" x14ac:dyDescent="0.25">
      <c r="A42" s="1" t="s">
        <v>36</v>
      </c>
      <c r="B42" s="6">
        <v>2013</v>
      </c>
      <c r="C42" s="6">
        <v>2227</v>
      </c>
      <c r="D42" s="3"/>
    </row>
    <row r="43" spans="1:4" x14ac:dyDescent="0.25">
      <c r="A43" s="1" t="s">
        <v>37</v>
      </c>
      <c r="B43" s="6">
        <v>1854</v>
      </c>
      <c r="C43" s="6">
        <v>1727</v>
      </c>
      <c r="D43" s="3"/>
    </row>
    <row r="44" spans="1:4" x14ac:dyDescent="0.25">
      <c r="A44" s="4" t="s">
        <v>38</v>
      </c>
      <c r="B44" s="6">
        <f>SUM(B40:B43)</f>
        <v>14139</v>
      </c>
      <c r="C44" s="6">
        <f>SUM(C40:C43)</f>
        <v>13948</v>
      </c>
      <c r="D44" s="3"/>
    </row>
    <row r="45" spans="1:4" x14ac:dyDescent="0.25">
      <c r="B45" s="6"/>
      <c r="C45" s="6"/>
      <c r="D45" s="3"/>
    </row>
    <row r="46" spans="1:4" x14ac:dyDescent="0.25">
      <c r="A46" s="4" t="s">
        <v>8</v>
      </c>
      <c r="B46" s="6"/>
      <c r="C46" s="6"/>
      <c r="D46" s="3"/>
    </row>
    <row r="47" spans="1:4" x14ac:dyDescent="0.25">
      <c r="A47" s="1" t="s">
        <v>39</v>
      </c>
      <c r="B47" s="6">
        <f>3468+9</f>
        <v>3477</v>
      </c>
      <c r="C47" s="6">
        <f>3153+9</f>
        <v>3162</v>
      </c>
      <c r="D47" s="3"/>
    </row>
    <row r="48" spans="1:4" x14ac:dyDescent="0.25">
      <c r="A48" s="1" t="s">
        <v>40</v>
      </c>
      <c r="B48" s="6">
        <v>25995</v>
      </c>
      <c r="C48" s="6">
        <v>23753</v>
      </c>
      <c r="D48" s="3"/>
    </row>
    <row r="49" spans="1:4" x14ac:dyDescent="0.25">
      <c r="A49" s="1" t="s">
        <v>41</v>
      </c>
      <c r="B49" s="6">
        <v>-10266</v>
      </c>
      <c r="C49" s="6">
        <v>-10397</v>
      </c>
      <c r="D49" s="3"/>
    </row>
    <row r="50" spans="1:4" x14ac:dyDescent="0.25">
      <c r="A50" s="1" t="s">
        <v>42</v>
      </c>
      <c r="B50" s="6">
        <v>-3543</v>
      </c>
      <c r="C50" s="6">
        <v>-3754</v>
      </c>
      <c r="D50" s="3"/>
    </row>
    <row r="51" spans="1:4" x14ac:dyDescent="0.25">
      <c r="A51" s="1" t="s">
        <v>43</v>
      </c>
      <c r="B51" s="6">
        <f>SUM(B47:B50)</f>
        <v>15663</v>
      </c>
      <c r="C51" s="6">
        <f>SUM(C47:C50)</f>
        <v>12764</v>
      </c>
      <c r="D51" s="3"/>
    </row>
    <row r="52" spans="1:4" x14ac:dyDescent="0.25">
      <c r="A52" s="1" t="s">
        <v>44</v>
      </c>
      <c r="B52" s="6">
        <v>354</v>
      </c>
      <c r="C52" s="6">
        <v>538</v>
      </c>
      <c r="D52" s="3"/>
    </row>
    <row r="53" spans="1:4" x14ac:dyDescent="0.25">
      <c r="B53" s="6"/>
      <c r="C53" s="6"/>
      <c r="D53" s="3"/>
    </row>
    <row r="54" spans="1:4" x14ac:dyDescent="0.25">
      <c r="A54" s="4" t="s">
        <v>45</v>
      </c>
      <c r="B54" s="6">
        <f>SUM(B51:B52)</f>
        <v>16017</v>
      </c>
      <c r="C54" s="6">
        <f>SUM(C51:C52)</f>
        <v>13302</v>
      </c>
      <c r="D54" s="3"/>
    </row>
    <row r="55" spans="1:4" ht="15.75" thickBot="1" x14ac:dyDescent="0.3">
      <c r="B55" s="6"/>
      <c r="C55" s="6"/>
      <c r="D55" s="3"/>
    </row>
    <row r="56" spans="1:4" ht="15.75" thickBot="1" x14ac:dyDescent="0.3">
      <c r="A56" s="7" t="s">
        <v>46</v>
      </c>
      <c r="B56" s="8">
        <f>B54+B44</f>
        <v>30156</v>
      </c>
      <c r="C56" s="9">
        <f>C54+C44</f>
        <v>27250</v>
      </c>
      <c r="D56" s="3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zoomScale="90" zoomScaleNormal="90" workbookViewId="0">
      <selection activeCell="E28" sqref="E28"/>
    </sheetView>
  </sheetViews>
  <sheetFormatPr baseColWidth="10" defaultRowHeight="15" x14ac:dyDescent="0.25"/>
  <cols>
    <col min="1" max="1" width="35" style="1" customWidth="1"/>
    <col min="2" max="3" width="11.42578125" style="5"/>
    <col min="4" max="16384" width="11.42578125" style="1"/>
  </cols>
  <sheetData>
    <row r="1" spans="1:6" x14ac:dyDescent="0.25">
      <c r="A1" s="40" t="s">
        <v>0</v>
      </c>
      <c r="B1" s="40"/>
      <c r="C1" s="40"/>
      <c r="D1" s="40"/>
    </row>
    <row r="2" spans="1:6" x14ac:dyDescent="0.25">
      <c r="A2" s="40" t="s">
        <v>1</v>
      </c>
      <c r="B2" s="40"/>
      <c r="C2" s="40"/>
      <c r="D2" s="40"/>
    </row>
    <row r="3" spans="1:6" x14ac:dyDescent="0.25">
      <c r="A3" s="40" t="s">
        <v>3</v>
      </c>
      <c r="B3" s="40"/>
      <c r="C3" s="40"/>
      <c r="D3" s="40"/>
    </row>
    <row r="4" spans="1:6" x14ac:dyDescent="0.25">
      <c r="E4" s="41" t="s">
        <v>68</v>
      </c>
      <c r="F4" s="41"/>
    </row>
    <row r="5" spans="1:6" x14ac:dyDescent="0.25">
      <c r="B5" s="5" t="s">
        <v>65</v>
      </c>
      <c r="C5" s="5" t="s">
        <v>65</v>
      </c>
      <c r="E5" s="5" t="s">
        <v>65</v>
      </c>
      <c r="F5" s="5" t="s">
        <v>65</v>
      </c>
    </row>
    <row r="6" spans="1:6" x14ac:dyDescent="0.25">
      <c r="A6" s="1" t="s">
        <v>64</v>
      </c>
      <c r="B6" s="5">
        <v>2010</v>
      </c>
      <c r="C6" s="5">
        <v>2009</v>
      </c>
      <c r="D6" s="3"/>
      <c r="E6" s="5">
        <v>2010</v>
      </c>
      <c r="F6" s="5">
        <v>2009</v>
      </c>
    </row>
    <row r="7" spans="1:6" x14ac:dyDescent="0.25">
      <c r="A7" s="4" t="s">
        <v>4</v>
      </c>
      <c r="B7" s="6"/>
      <c r="C7" s="6"/>
      <c r="D7" s="3"/>
    </row>
    <row r="8" spans="1:6" x14ac:dyDescent="0.25">
      <c r="A8" s="4" t="s">
        <v>5</v>
      </c>
      <c r="B8" s="6"/>
      <c r="C8" s="6"/>
      <c r="D8" s="3"/>
    </row>
    <row r="9" spans="1:6" x14ac:dyDescent="0.25">
      <c r="A9" s="1" t="s">
        <v>10</v>
      </c>
      <c r="B9" s="6">
        <v>3377</v>
      </c>
      <c r="C9" s="6">
        <v>3040</v>
      </c>
      <c r="D9" s="3"/>
      <c r="E9" s="11">
        <f>B9/$B$31</f>
        <v>0.11198434805677146</v>
      </c>
      <c r="F9" s="11">
        <f>C9/$C$31</f>
        <v>0.11155963302752293</v>
      </c>
    </row>
    <row r="10" spans="1:6" x14ac:dyDescent="0.25">
      <c r="A10" s="1" t="s">
        <v>11</v>
      </c>
      <c r="B10" s="6">
        <v>1101</v>
      </c>
      <c r="C10" s="6">
        <v>744</v>
      </c>
      <c r="D10" s="3"/>
      <c r="E10" s="11">
        <f t="shared" ref="E10:E30" si="0">B10/$B$31</f>
        <v>3.6510147234381216E-2</v>
      </c>
      <c r="F10" s="11">
        <f t="shared" ref="F10:F31" si="1">C10/$C$31</f>
        <v>2.7302752293577981E-2</v>
      </c>
    </row>
    <row r="11" spans="1:6" x14ac:dyDescent="0.25">
      <c r="A11" s="1" t="s">
        <v>67</v>
      </c>
      <c r="B11" s="6">
        <v>3615</v>
      </c>
      <c r="C11" s="6">
        <v>3250</v>
      </c>
      <c r="D11" s="3"/>
      <c r="E11" s="11">
        <f t="shared" si="0"/>
        <v>0.1198766414643852</v>
      </c>
      <c r="F11" s="11">
        <f t="shared" si="1"/>
        <v>0.11926605504587157</v>
      </c>
    </row>
    <row r="12" spans="1:6" x14ac:dyDescent="0.25">
      <c r="B12" s="6"/>
      <c r="C12" s="6"/>
      <c r="D12" s="3"/>
      <c r="E12" s="11"/>
      <c r="F12" s="11"/>
    </row>
    <row r="13" spans="1:6" x14ac:dyDescent="0.25">
      <c r="A13" s="1" t="s">
        <v>12</v>
      </c>
      <c r="B13" s="6"/>
      <c r="C13" s="6"/>
      <c r="D13" s="3"/>
      <c r="E13" s="11"/>
      <c r="F13" s="11"/>
    </row>
    <row r="14" spans="1:6" x14ac:dyDescent="0.25">
      <c r="A14" s="1" t="s">
        <v>13</v>
      </c>
      <c r="B14" s="6">
        <v>1476</v>
      </c>
      <c r="C14" s="6">
        <v>1255</v>
      </c>
      <c r="D14" s="3"/>
      <c r="E14" s="11">
        <f t="shared" si="0"/>
        <v>4.8945483485873457E-2</v>
      </c>
      <c r="F14" s="11">
        <f t="shared" si="1"/>
        <v>4.6055045871559633E-2</v>
      </c>
    </row>
    <row r="15" spans="1:6" x14ac:dyDescent="0.25">
      <c r="A15" s="1" t="s">
        <v>14</v>
      </c>
      <c r="B15" s="6">
        <v>950</v>
      </c>
      <c r="C15" s="6">
        <v>815</v>
      </c>
      <c r="D15" s="3"/>
      <c r="E15" s="11">
        <f t="shared" si="0"/>
        <v>3.1502851837113675E-2</v>
      </c>
      <c r="F15" s="11">
        <f t="shared" si="1"/>
        <v>2.9908256880733945E-2</v>
      </c>
    </row>
    <row r="16" spans="1:6" x14ac:dyDescent="0.25">
      <c r="A16" s="1" t="s">
        <v>15</v>
      </c>
      <c r="B16" s="6">
        <v>729</v>
      </c>
      <c r="C16" s="6">
        <v>569</v>
      </c>
      <c r="D16" s="3"/>
      <c r="E16" s="11">
        <f t="shared" si="0"/>
        <v>2.4174293672900915E-2</v>
      </c>
      <c r="F16" s="11">
        <f t="shared" si="1"/>
        <v>2.0880733944954127E-2</v>
      </c>
    </row>
    <row r="17" spans="1:6" x14ac:dyDescent="0.25">
      <c r="A17" s="1" t="s">
        <v>16</v>
      </c>
      <c r="B17" s="6">
        <f>SUM(B14:B16)</f>
        <v>3155</v>
      </c>
      <c r="C17" s="6">
        <f>SUM(C14:C16)</f>
        <v>2639</v>
      </c>
      <c r="D17" s="3"/>
      <c r="E17" s="11">
        <f>SUM(E14:E16)</f>
        <v>0.10462262899588805</v>
      </c>
      <c r="F17" s="11">
        <f t="shared" si="1"/>
        <v>9.6844036697247712E-2</v>
      </c>
    </row>
    <row r="18" spans="1:6" x14ac:dyDescent="0.25">
      <c r="B18" s="6"/>
      <c r="C18" s="6"/>
      <c r="D18" s="3"/>
      <c r="E18" s="11"/>
      <c r="F18" s="11"/>
    </row>
    <row r="19" spans="1:6" x14ac:dyDescent="0.25">
      <c r="A19" s="1" t="s">
        <v>17</v>
      </c>
      <c r="B19" s="6">
        <v>967</v>
      </c>
      <c r="C19" s="6">
        <v>1122</v>
      </c>
      <c r="D19" s="3"/>
      <c r="E19" s="11">
        <f t="shared" si="0"/>
        <v>3.2066587080514658E-2</v>
      </c>
      <c r="F19" s="11">
        <f t="shared" si="1"/>
        <v>4.1174311926605506E-2</v>
      </c>
    </row>
    <row r="20" spans="1:6" x14ac:dyDescent="0.25">
      <c r="A20" s="4" t="s">
        <v>18</v>
      </c>
      <c r="B20" s="6">
        <f>B9+B10+B11+B17+B19</f>
        <v>12215</v>
      </c>
      <c r="C20" s="6">
        <f>C9+C10+C11+C17+C19</f>
        <v>10795</v>
      </c>
      <c r="D20" s="3"/>
      <c r="E20" s="11">
        <f t="shared" si="0"/>
        <v>0.40506035283194058</v>
      </c>
      <c r="F20" s="11">
        <f t="shared" si="1"/>
        <v>0.39614678899082567</v>
      </c>
    </row>
    <row r="21" spans="1:6" x14ac:dyDescent="0.25">
      <c r="A21" s="4"/>
      <c r="B21" s="6"/>
      <c r="C21" s="6"/>
      <c r="D21" s="3"/>
      <c r="E21" s="11"/>
      <c r="F21" s="11"/>
    </row>
    <row r="22" spans="1:6" x14ac:dyDescent="0.25">
      <c r="A22" s="1" t="s">
        <v>19</v>
      </c>
      <c r="B22" s="6">
        <v>540</v>
      </c>
      <c r="C22" s="6">
        <v>825</v>
      </c>
      <c r="D22" s="3"/>
      <c r="E22" s="11">
        <f t="shared" si="0"/>
        <v>1.7906884202148827E-2</v>
      </c>
      <c r="F22" s="11">
        <f t="shared" si="1"/>
        <v>3.0275229357798167E-2</v>
      </c>
    </row>
    <row r="23" spans="1:6" x14ac:dyDescent="0.25">
      <c r="A23" s="1" t="s">
        <v>20</v>
      </c>
      <c r="B23" s="6">
        <v>146</v>
      </c>
      <c r="C23" s="6">
        <v>103</v>
      </c>
      <c r="D23" s="3"/>
      <c r="E23" s="11">
        <f t="shared" si="0"/>
        <v>4.8414909139143127E-3</v>
      </c>
      <c r="F23" s="11">
        <f t="shared" si="1"/>
        <v>3.7798165137614679E-3</v>
      </c>
    </row>
    <row r="24" spans="1:6" x14ac:dyDescent="0.25">
      <c r="A24" s="1" t="s">
        <v>21</v>
      </c>
      <c r="B24" s="6">
        <v>20253</v>
      </c>
      <c r="C24" s="6">
        <v>19440</v>
      </c>
      <c r="D24" s="3"/>
      <c r="E24" s="11">
        <f t="shared" si="0"/>
        <v>0.67160764027059294</v>
      </c>
      <c r="F24" s="11">
        <f t="shared" si="1"/>
        <v>0.71339449541284405</v>
      </c>
    </row>
    <row r="25" spans="1:6" x14ac:dyDescent="0.25">
      <c r="A25" s="1" t="s">
        <v>22</v>
      </c>
      <c r="B25" s="6">
        <v>-12974</v>
      </c>
      <c r="C25" s="6">
        <v>-12440</v>
      </c>
      <c r="D25" s="3"/>
      <c r="E25" s="11">
        <f t="shared" si="0"/>
        <v>-0.43022947340496087</v>
      </c>
      <c r="F25" s="11">
        <f t="shared" si="1"/>
        <v>-0.45651376146788991</v>
      </c>
    </row>
    <row r="26" spans="1:6" x14ac:dyDescent="0.25">
      <c r="A26" s="4" t="s">
        <v>23</v>
      </c>
      <c r="B26" s="6">
        <f>B24+B25</f>
        <v>7279</v>
      </c>
      <c r="C26" s="6">
        <f>C24+C25</f>
        <v>7000</v>
      </c>
      <c r="D26" s="3"/>
      <c r="E26" s="11">
        <f t="shared" si="0"/>
        <v>0.24137816686563204</v>
      </c>
      <c r="F26" s="11">
        <f t="shared" si="1"/>
        <v>0.25688073394495414</v>
      </c>
    </row>
    <row r="27" spans="1:6" x14ac:dyDescent="0.25">
      <c r="A27" s="1" t="s">
        <v>24</v>
      </c>
      <c r="B27" s="6">
        <v>6820</v>
      </c>
      <c r="C27" s="6">
        <v>5832</v>
      </c>
      <c r="D27" s="3"/>
      <c r="E27" s="11">
        <f t="shared" si="0"/>
        <v>0.22615731529380553</v>
      </c>
      <c r="F27" s="11">
        <f t="shared" si="1"/>
        <v>0.21401834862385322</v>
      </c>
    </row>
    <row r="28" spans="1:6" x14ac:dyDescent="0.25">
      <c r="A28" s="4" t="s">
        <v>25</v>
      </c>
      <c r="B28" s="6">
        <v>1820</v>
      </c>
      <c r="C28" s="6">
        <v>1342</v>
      </c>
      <c r="D28" s="3"/>
      <c r="E28" s="11">
        <f t="shared" si="0"/>
        <v>6.0352831940575676E-2</v>
      </c>
      <c r="F28" s="11">
        <f t="shared" si="1"/>
        <v>4.9247706422018346E-2</v>
      </c>
    </row>
    <row r="29" spans="1:6" x14ac:dyDescent="0.25">
      <c r="A29" s="1" t="s">
        <v>26</v>
      </c>
      <c r="B29" s="6">
        <v>74</v>
      </c>
      <c r="C29" s="6">
        <v>78</v>
      </c>
      <c r="D29" s="3"/>
      <c r="E29" s="11">
        <f t="shared" si="0"/>
        <v>2.453906353627802E-3</v>
      </c>
      <c r="F29" s="11">
        <f t="shared" si="1"/>
        <v>2.8623853211009174E-3</v>
      </c>
    </row>
    <row r="30" spans="1:6" ht="15.75" thickBot="1" x14ac:dyDescent="0.3">
      <c r="A30" s="1" t="s">
        <v>27</v>
      </c>
      <c r="B30" s="6">
        <v>1262</v>
      </c>
      <c r="C30" s="6">
        <v>1275</v>
      </c>
      <c r="D30" s="3"/>
      <c r="E30" s="11">
        <f t="shared" si="0"/>
        <v>4.1849051598355218E-2</v>
      </c>
      <c r="F30" s="11">
        <f t="shared" si="1"/>
        <v>4.6788990825688076E-2</v>
      </c>
    </row>
    <row r="31" spans="1:6" ht="15.75" thickBot="1" x14ac:dyDescent="0.3">
      <c r="A31" s="7" t="s">
        <v>28</v>
      </c>
      <c r="B31" s="8">
        <f>B20+B22+B23+B26+B27+B28+B29+B30</f>
        <v>30156</v>
      </c>
      <c r="C31" s="9">
        <f>C20+C22+C23+C26+C27+C28+C29+C30</f>
        <v>27250</v>
      </c>
      <c r="D31" s="3"/>
      <c r="E31" s="11">
        <f>B31/B31</f>
        <v>1</v>
      </c>
      <c r="F31" s="11">
        <f t="shared" si="1"/>
        <v>1</v>
      </c>
    </row>
    <row r="32" spans="1:6" x14ac:dyDescent="0.25">
      <c r="B32" s="6"/>
      <c r="C32" s="6"/>
      <c r="D32" s="3"/>
    </row>
    <row r="33" spans="1:6" x14ac:dyDescent="0.25">
      <c r="A33" s="4" t="s">
        <v>6</v>
      </c>
      <c r="B33" s="6"/>
      <c r="C33" s="6"/>
      <c r="D33" s="3"/>
    </row>
    <row r="34" spans="1:6" x14ac:dyDescent="0.25">
      <c r="A34" s="4" t="s">
        <v>7</v>
      </c>
      <c r="B34" s="6"/>
      <c r="C34" s="6"/>
      <c r="D34" s="3"/>
    </row>
    <row r="35" spans="1:6" x14ac:dyDescent="0.25">
      <c r="A35" s="1" t="s">
        <v>29</v>
      </c>
      <c r="B35" s="6">
        <v>1269</v>
      </c>
      <c r="C35" s="6">
        <v>613</v>
      </c>
      <c r="D35" s="3"/>
      <c r="E35" s="11">
        <f>B35/$B$56</f>
        <v>4.2081177875049738E-2</v>
      </c>
      <c r="F35" s="11">
        <f>C35/$C$56</f>
        <v>2.2495412844036698E-2</v>
      </c>
    </row>
    <row r="36" spans="1:6" x14ac:dyDescent="0.25">
      <c r="A36" s="1" t="s">
        <v>30</v>
      </c>
      <c r="B36" s="6">
        <v>1662</v>
      </c>
      <c r="C36" s="6">
        <v>1453</v>
      </c>
      <c r="D36" s="3"/>
      <c r="E36" s="11">
        <f t="shared" ref="E36:E56" si="2">B36/$B$56</f>
        <v>5.5113410266613608E-2</v>
      </c>
      <c r="F36" s="11">
        <f t="shared" ref="F36:F56" si="3">C36/$C$56</f>
        <v>5.332110091743119E-2</v>
      </c>
    </row>
    <row r="37" spans="1:6" x14ac:dyDescent="0.25">
      <c r="A37" s="1" t="s">
        <v>31</v>
      </c>
      <c r="B37" s="6">
        <v>778</v>
      </c>
      <c r="C37" s="6">
        <v>680</v>
      </c>
      <c r="D37" s="3"/>
      <c r="E37" s="11">
        <f t="shared" si="2"/>
        <v>2.5799177609762566E-2</v>
      </c>
      <c r="F37" s="11">
        <f t="shared" si="3"/>
        <v>2.4954128440366971E-2</v>
      </c>
    </row>
    <row r="38" spans="1:6" x14ac:dyDescent="0.25">
      <c r="A38" s="1" t="s">
        <v>32</v>
      </c>
      <c r="B38" s="6">
        <v>358</v>
      </c>
      <c r="C38" s="6">
        <v>252</v>
      </c>
      <c r="D38" s="3"/>
      <c r="E38" s="11">
        <f t="shared" si="2"/>
        <v>1.1871601008091259E-2</v>
      </c>
      <c r="F38" s="11">
        <f t="shared" si="3"/>
        <v>9.2477064220183487E-3</v>
      </c>
    </row>
    <row r="39" spans="1:6" x14ac:dyDescent="0.25">
      <c r="A39" s="1" t="s">
        <v>33</v>
      </c>
      <c r="B39" s="6">
        <v>2022</v>
      </c>
      <c r="C39" s="6">
        <v>1899</v>
      </c>
      <c r="D39" s="3"/>
      <c r="E39" s="11">
        <f t="shared" si="2"/>
        <v>6.7051333068046157E-2</v>
      </c>
      <c r="F39" s="11">
        <f t="shared" si="3"/>
        <v>6.9688073394495412E-2</v>
      </c>
    </row>
    <row r="40" spans="1:6" x14ac:dyDescent="0.25">
      <c r="A40" s="4" t="s">
        <v>34</v>
      </c>
      <c r="B40" s="6">
        <f>SUM(B35:B39)</f>
        <v>6089</v>
      </c>
      <c r="C40" s="6">
        <f>SUM(C35:C39)</f>
        <v>4897</v>
      </c>
      <c r="D40" s="3"/>
      <c r="E40" s="11">
        <f t="shared" si="2"/>
        <v>0.20191669982756333</v>
      </c>
      <c r="F40" s="11">
        <f t="shared" si="3"/>
        <v>0.17970642201834863</v>
      </c>
    </row>
    <row r="41" spans="1:6" x14ac:dyDescent="0.25">
      <c r="A41" s="1" t="s">
        <v>35</v>
      </c>
      <c r="B41" s="6">
        <v>4183</v>
      </c>
      <c r="C41" s="6">
        <v>5097</v>
      </c>
      <c r="D41" s="3"/>
      <c r="E41" s="11">
        <f t="shared" si="2"/>
        <v>0.13871203077331212</v>
      </c>
      <c r="F41" s="11">
        <f t="shared" si="3"/>
        <v>0.18704587155963304</v>
      </c>
    </row>
    <row r="42" spans="1:6" x14ac:dyDescent="0.25">
      <c r="A42" s="1" t="s">
        <v>36</v>
      </c>
      <c r="B42" s="6">
        <v>2013</v>
      </c>
      <c r="C42" s="6">
        <v>2227</v>
      </c>
      <c r="D42" s="3"/>
      <c r="E42" s="11">
        <f t="shared" si="2"/>
        <v>6.6752884998010339E-2</v>
      </c>
      <c r="F42" s="11">
        <f t="shared" si="3"/>
        <v>8.1724770642201836E-2</v>
      </c>
    </row>
    <row r="43" spans="1:6" x14ac:dyDescent="0.25">
      <c r="A43" s="1" t="s">
        <v>37</v>
      </c>
      <c r="B43" s="6">
        <v>1854</v>
      </c>
      <c r="C43" s="6">
        <v>1727</v>
      </c>
      <c r="D43" s="3"/>
      <c r="E43" s="11">
        <f t="shared" si="2"/>
        <v>6.1480302427377634E-2</v>
      </c>
      <c r="F43" s="11">
        <f t="shared" si="3"/>
        <v>6.3376146788990825E-2</v>
      </c>
    </row>
    <row r="44" spans="1:6" x14ac:dyDescent="0.25">
      <c r="A44" s="4" t="s">
        <v>38</v>
      </c>
      <c r="B44" s="6">
        <f>SUM(B40:B43)</f>
        <v>14139</v>
      </c>
      <c r="C44" s="6">
        <f>SUM(C40:C43)</f>
        <v>13948</v>
      </c>
      <c r="D44" s="3"/>
      <c r="E44" s="11">
        <f t="shared" si="2"/>
        <v>0.46886191802626342</v>
      </c>
      <c r="F44" s="11">
        <f t="shared" si="3"/>
        <v>0.51185321100917436</v>
      </c>
    </row>
    <row r="45" spans="1:6" x14ac:dyDescent="0.25">
      <c r="B45" s="6"/>
      <c r="C45" s="6"/>
      <c r="D45" s="3"/>
      <c r="E45" s="11"/>
      <c r="F45" s="11"/>
    </row>
    <row r="46" spans="1:6" x14ac:dyDescent="0.25">
      <c r="A46" s="4" t="s">
        <v>8</v>
      </c>
      <c r="B46" s="6"/>
      <c r="C46" s="6"/>
      <c r="D46" s="3"/>
      <c r="E46" s="11"/>
      <c r="F46" s="11"/>
    </row>
    <row r="47" spans="1:6" x14ac:dyDescent="0.25">
      <c r="A47" s="1" t="s">
        <v>39</v>
      </c>
      <c r="B47" s="6">
        <f>3468+9</f>
        <v>3477</v>
      </c>
      <c r="C47" s="6">
        <f>3153+9</f>
        <v>3162</v>
      </c>
      <c r="D47" s="3"/>
      <c r="E47" s="11">
        <f t="shared" si="2"/>
        <v>0.11530043772383605</v>
      </c>
      <c r="F47" s="11">
        <f t="shared" si="3"/>
        <v>0.11603669724770642</v>
      </c>
    </row>
    <row r="48" spans="1:6" x14ac:dyDescent="0.25">
      <c r="A48" s="1" t="s">
        <v>40</v>
      </c>
      <c r="B48" s="6">
        <v>25995</v>
      </c>
      <c r="C48" s="6">
        <v>23753</v>
      </c>
      <c r="D48" s="3"/>
      <c r="E48" s="11">
        <f t="shared" si="2"/>
        <v>0.86201750895344209</v>
      </c>
      <c r="F48" s="11">
        <f t="shared" si="3"/>
        <v>0.8716697247706422</v>
      </c>
    </row>
    <row r="49" spans="1:6" x14ac:dyDescent="0.25">
      <c r="A49" s="1" t="s">
        <v>41</v>
      </c>
      <c r="B49" s="6">
        <v>-10266</v>
      </c>
      <c r="C49" s="6">
        <v>-10397</v>
      </c>
      <c r="D49" s="3"/>
      <c r="E49" s="11">
        <f t="shared" si="2"/>
        <v>-0.34042976522085155</v>
      </c>
      <c r="F49" s="11">
        <f t="shared" si="3"/>
        <v>-0.38154128440366974</v>
      </c>
    </row>
    <row r="50" spans="1:6" x14ac:dyDescent="0.25">
      <c r="A50" s="1" t="s">
        <v>42</v>
      </c>
      <c r="B50" s="6">
        <v>-3543</v>
      </c>
      <c r="C50" s="6">
        <v>-3754</v>
      </c>
      <c r="D50" s="3"/>
      <c r="E50" s="11">
        <f t="shared" si="2"/>
        <v>-0.11748905690409869</v>
      </c>
      <c r="F50" s="11">
        <f t="shared" si="3"/>
        <v>-0.13776146788990826</v>
      </c>
    </row>
    <row r="51" spans="1:6" x14ac:dyDescent="0.25">
      <c r="A51" s="1" t="s">
        <v>43</v>
      </c>
      <c r="B51" s="6">
        <f>SUM(B47:B50)</f>
        <v>15663</v>
      </c>
      <c r="C51" s="6">
        <f>SUM(C47:C50)</f>
        <v>12764</v>
      </c>
      <c r="D51" s="3"/>
      <c r="E51" s="11">
        <f t="shared" si="2"/>
        <v>0.51939912455232784</v>
      </c>
      <c r="F51" s="11">
        <f t="shared" si="3"/>
        <v>0.46840366972477065</v>
      </c>
    </row>
    <row r="52" spans="1:6" x14ac:dyDescent="0.25">
      <c r="A52" s="1" t="s">
        <v>44</v>
      </c>
      <c r="B52" s="6">
        <v>354</v>
      </c>
      <c r="C52" s="6">
        <v>538</v>
      </c>
      <c r="D52" s="3"/>
      <c r="E52" s="11">
        <f t="shared" si="2"/>
        <v>1.1738957421408675E-2</v>
      </c>
      <c r="F52" s="11">
        <f t="shared" si="3"/>
        <v>1.9743119266055046E-2</v>
      </c>
    </row>
    <row r="53" spans="1:6" x14ac:dyDescent="0.25">
      <c r="B53" s="6"/>
      <c r="C53" s="6"/>
      <c r="D53" s="3"/>
      <c r="E53" s="11"/>
      <c r="F53" s="11"/>
    </row>
    <row r="54" spans="1:6" x14ac:dyDescent="0.25">
      <c r="A54" s="4" t="s">
        <v>45</v>
      </c>
      <c r="B54" s="6">
        <f>SUM(B51:B52)</f>
        <v>16017</v>
      </c>
      <c r="C54" s="6">
        <f>SUM(C51:C52)</f>
        <v>13302</v>
      </c>
      <c r="D54" s="3"/>
      <c r="E54" s="11">
        <f t="shared" si="2"/>
        <v>0.53113808197373658</v>
      </c>
      <c r="F54" s="11">
        <f t="shared" si="3"/>
        <v>0.4881467889908257</v>
      </c>
    </row>
    <row r="55" spans="1:6" ht="15.75" thickBot="1" x14ac:dyDescent="0.3">
      <c r="B55" s="6"/>
      <c r="C55" s="6"/>
      <c r="D55" s="3"/>
      <c r="E55" s="11"/>
      <c r="F55" s="11"/>
    </row>
    <row r="56" spans="1:6" ht="15.75" thickBot="1" x14ac:dyDescent="0.3">
      <c r="A56" s="7" t="s">
        <v>46</v>
      </c>
      <c r="B56" s="8">
        <f>B54+B44</f>
        <v>30156</v>
      </c>
      <c r="C56" s="9">
        <f>C54+C44</f>
        <v>27250</v>
      </c>
      <c r="D56" s="3"/>
      <c r="E56" s="11">
        <f t="shared" si="2"/>
        <v>1</v>
      </c>
      <c r="F56" s="11">
        <f t="shared" si="3"/>
        <v>1</v>
      </c>
    </row>
  </sheetData>
  <mergeCells count="4">
    <mergeCell ref="A1:D1"/>
    <mergeCell ref="A2:D2"/>
    <mergeCell ref="A3:D3"/>
    <mergeCell ref="E4:F4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zoomScale="90" zoomScaleNormal="90" workbookViewId="0">
      <selection activeCell="E1" sqref="E1"/>
    </sheetView>
  </sheetViews>
  <sheetFormatPr baseColWidth="10" defaultRowHeight="15" x14ac:dyDescent="0.25"/>
  <cols>
    <col min="1" max="1" width="56.42578125" style="1" bestFit="1" customWidth="1"/>
    <col min="2" max="3" width="11.42578125" style="5"/>
    <col min="4" max="16384" width="11.42578125" style="1"/>
  </cols>
  <sheetData>
    <row r="1" spans="1:6" x14ac:dyDescent="0.25">
      <c r="A1" s="40" t="s">
        <v>0</v>
      </c>
      <c r="B1" s="40"/>
      <c r="C1" s="40"/>
      <c r="D1" s="40"/>
    </row>
    <row r="2" spans="1:6" x14ac:dyDescent="0.25">
      <c r="A2" s="40" t="s">
        <v>1</v>
      </c>
      <c r="B2" s="40"/>
      <c r="C2" s="40"/>
      <c r="D2" s="40"/>
    </row>
    <row r="3" spans="1:6" x14ac:dyDescent="0.25">
      <c r="A3" s="40" t="s">
        <v>3</v>
      </c>
      <c r="B3" s="40"/>
      <c r="C3" s="40"/>
      <c r="D3" s="40"/>
    </row>
    <row r="4" spans="1:6" x14ac:dyDescent="0.25">
      <c r="E4" s="41" t="s">
        <v>69</v>
      </c>
      <c r="F4" s="41"/>
    </row>
    <row r="5" spans="1:6" x14ac:dyDescent="0.25">
      <c r="B5" s="5" t="s">
        <v>65</v>
      </c>
      <c r="C5" s="5" t="s">
        <v>65</v>
      </c>
      <c r="E5" s="5" t="s">
        <v>65</v>
      </c>
      <c r="F5" s="5" t="s">
        <v>65</v>
      </c>
    </row>
    <row r="6" spans="1:6" x14ac:dyDescent="0.25">
      <c r="A6" s="1" t="s">
        <v>64</v>
      </c>
      <c r="B6" s="5">
        <v>2010</v>
      </c>
      <c r="C6" s="5">
        <v>2009</v>
      </c>
      <c r="D6" s="3"/>
      <c r="E6" s="5">
        <v>2010</v>
      </c>
      <c r="F6" s="5">
        <v>2009</v>
      </c>
    </row>
    <row r="7" spans="1:6" x14ac:dyDescent="0.25">
      <c r="A7" s="4" t="s">
        <v>4</v>
      </c>
      <c r="B7" s="6"/>
      <c r="C7" s="6"/>
      <c r="D7" s="3"/>
    </row>
    <row r="8" spans="1:6" x14ac:dyDescent="0.25">
      <c r="A8" s="4" t="s">
        <v>5</v>
      </c>
      <c r="B8" s="6"/>
      <c r="C8" s="6"/>
      <c r="D8" s="3"/>
    </row>
    <row r="9" spans="1:6" x14ac:dyDescent="0.25">
      <c r="A9" s="1" t="s">
        <v>10</v>
      </c>
      <c r="B9" s="6">
        <v>3377</v>
      </c>
      <c r="C9" s="6">
        <v>3040</v>
      </c>
      <c r="D9" s="3"/>
      <c r="E9" s="11">
        <f>B9/C9</f>
        <v>1.1108552631578947</v>
      </c>
      <c r="F9" s="10">
        <v>1</v>
      </c>
    </row>
    <row r="10" spans="1:6" x14ac:dyDescent="0.25">
      <c r="A10" s="1" t="s">
        <v>11</v>
      </c>
      <c r="B10" s="6">
        <v>1101</v>
      </c>
      <c r="C10" s="6">
        <v>744</v>
      </c>
      <c r="D10" s="3"/>
      <c r="E10" s="11">
        <f t="shared" ref="E10:E56" si="0">B10/C10</f>
        <v>1.4798387096774193</v>
      </c>
      <c r="F10" s="10">
        <v>1</v>
      </c>
    </row>
    <row r="11" spans="1:6" x14ac:dyDescent="0.25">
      <c r="A11" s="1" t="s">
        <v>67</v>
      </c>
      <c r="B11" s="6">
        <v>3615</v>
      </c>
      <c r="C11" s="6">
        <v>3250</v>
      </c>
      <c r="D11" s="3"/>
      <c r="E11" s="11">
        <f t="shared" si="0"/>
        <v>1.1123076923076922</v>
      </c>
      <c r="F11" s="10">
        <v>1</v>
      </c>
    </row>
    <row r="12" spans="1:6" x14ac:dyDescent="0.25">
      <c r="B12" s="6"/>
      <c r="C12" s="6"/>
      <c r="D12" s="3"/>
      <c r="E12" s="11"/>
      <c r="F12" s="10"/>
    </row>
    <row r="13" spans="1:6" x14ac:dyDescent="0.25">
      <c r="A13" s="1" t="s">
        <v>12</v>
      </c>
      <c r="B13" s="6"/>
      <c r="C13" s="6"/>
      <c r="D13" s="3"/>
      <c r="E13" s="11"/>
      <c r="F13" s="10">
        <v>1</v>
      </c>
    </row>
    <row r="14" spans="1:6" x14ac:dyDescent="0.25">
      <c r="A14" s="1" t="s">
        <v>13</v>
      </c>
      <c r="B14" s="6">
        <v>1476</v>
      </c>
      <c r="C14" s="6">
        <v>1255</v>
      </c>
      <c r="D14" s="3"/>
      <c r="E14" s="11">
        <f t="shared" si="0"/>
        <v>1.1760956175298805</v>
      </c>
      <c r="F14" s="10">
        <v>1</v>
      </c>
    </row>
    <row r="15" spans="1:6" x14ac:dyDescent="0.25">
      <c r="A15" s="1" t="s">
        <v>14</v>
      </c>
      <c r="B15" s="6">
        <v>950</v>
      </c>
      <c r="C15" s="6">
        <v>815</v>
      </c>
      <c r="D15" s="3"/>
      <c r="E15" s="11">
        <f t="shared" si="0"/>
        <v>1.165644171779141</v>
      </c>
      <c r="F15" s="10">
        <v>1</v>
      </c>
    </row>
    <row r="16" spans="1:6" x14ac:dyDescent="0.25">
      <c r="A16" s="1" t="s">
        <v>15</v>
      </c>
      <c r="B16" s="6">
        <v>729</v>
      </c>
      <c r="C16" s="6">
        <v>569</v>
      </c>
      <c r="D16" s="3"/>
      <c r="E16" s="11">
        <f t="shared" si="0"/>
        <v>1.281195079086116</v>
      </c>
      <c r="F16" s="10">
        <v>1</v>
      </c>
    </row>
    <row r="17" spans="1:6" x14ac:dyDescent="0.25">
      <c r="A17" s="1" t="s">
        <v>16</v>
      </c>
      <c r="B17" s="6">
        <f>SUM(B14:B16)</f>
        <v>3155</v>
      </c>
      <c r="C17" s="6">
        <f>SUM(C14:C16)</f>
        <v>2639</v>
      </c>
      <c r="D17" s="3"/>
      <c r="E17" s="11">
        <f t="shared" si="0"/>
        <v>1.1955286093217128</v>
      </c>
      <c r="F17" s="10">
        <v>1</v>
      </c>
    </row>
    <row r="18" spans="1:6" x14ac:dyDescent="0.25">
      <c r="B18" s="6"/>
      <c r="C18" s="6"/>
      <c r="D18" s="3"/>
      <c r="E18" s="11"/>
      <c r="F18" s="10"/>
    </row>
    <row r="19" spans="1:6" x14ac:dyDescent="0.25">
      <c r="A19" s="1" t="s">
        <v>17</v>
      </c>
      <c r="B19" s="6">
        <v>967</v>
      </c>
      <c r="C19" s="6">
        <v>1122</v>
      </c>
      <c r="D19" s="3"/>
      <c r="E19" s="11">
        <f t="shared" si="0"/>
        <v>0.8618538324420677</v>
      </c>
      <c r="F19" s="10">
        <v>1</v>
      </c>
    </row>
    <row r="20" spans="1:6" x14ac:dyDescent="0.25">
      <c r="A20" s="4" t="s">
        <v>18</v>
      </c>
      <c r="B20" s="6">
        <f>B9+B10+B11+B17+B19</f>
        <v>12215</v>
      </c>
      <c r="C20" s="6">
        <f>C9+C10+C11+C17+C19</f>
        <v>10795</v>
      </c>
      <c r="D20" s="3"/>
      <c r="E20" s="11">
        <f t="shared" si="0"/>
        <v>1.1315423807318203</v>
      </c>
      <c r="F20" s="10">
        <v>1</v>
      </c>
    </row>
    <row r="21" spans="1:6" x14ac:dyDescent="0.25">
      <c r="A21" s="4"/>
      <c r="B21" s="6"/>
      <c r="C21" s="6"/>
      <c r="D21" s="3"/>
      <c r="E21" s="11"/>
      <c r="F21" s="10"/>
    </row>
    <row r="22" spans="1:6" x14ac:dyDescent="0.25">
      <c r="A22" s="1" t="s">
        <v>19</v>
      </c>
      <c r="B22" s="6">
        <v>540</v>
      </c>
      <c r="C22" s="6">
        <v>825</v>
      </c>
      <c r="D22" s="3"/>
      <c r="E22" s="11">
        <f t="shared" si="0"/>
        <v>0.65454545454545454</v>
      </c>
      <c r="F22" s="10">
        <v>1</v>
      </c>
    </row>
    <row r="23" spans="1:6" x14ac:dyDescent="0.25">
      <c r="A23" s="1" t="s">
        <v>20</v>
      </c>
      <c r="B23" s="6">
        <v>146</v>
      </c>
      <c r="C23" s="6">
        <v>103</v>
      </c>
      <c r="D23" s="3"/>
      <c r="E23" s="11">
        <f t="shared" si="0"/>
        <v>1.4174757281553398</v>
      </c>
      <c r="F23" s="10">
        <v>1</v>
      </c>
    </row>
    <row r="24" spans="1:6" x14ac:dyDescent="0.25">
      <c r="A24" s="1" t="s">
        <v>21</v>
      </c>
      <c r="B24" s="6">
        <v>20253</v>
      </c>
      <c r="C24" s="6">
        <v>19440</v>
      </c>
      <c r="D24" s="3"/>
      <c r="E24" s="11">
        <f t="shared" si="0"/>
        <v>1.041820987654321</v>
      </c>
      <c r="F24" s="10">
        <v>1</v>
      </c>
    </row>
    <row r="25" spans="1:6" x14ac:dyDescent="0.25">
      <c r="A25" s="1" t="s">
        <v>22</v>
      </c>
      <c r="B25" s="6">
        <v>-12974</v>
      </c>
      <c r="C25" s="6">
        <v>-12440</v>
      </c>
      <c r="D25" s="3"/>
      <c r="E25" s="11">
        <f t="shared" si="0"/>
        <v>1.0429260450160771</v>
      </c>
      <c r="F25" s="10">
        <v>1</v>
      </c>
    </row>
    <row r="26" spans="1:6" x14ac:dyDescent="0.25">
      <c r="A26" s="4" t="s">
        <v>23</v>
      </c>
      <c r="B26" s="6">
        <f>B24+B25</f>
        <v>7279</v>
      </c>
      <c r="C26" s="6">
        <f>C24+C25</f>
        <v>7000</v>
      </c>
      <c r="D26" s="3"/>
      <c r="E26" s="11">
        <f t="shared" si="0"/>
        <v>1.0398571428571428</v>
      </c>
      <c r="F26" s="10">
        <v>1</v>
      </c>
    </row>
    <row r="27" spans="1:6" x14ac:dyDescent="0.25">
      <c r="A27" s="1" t="s">
        <v>24</v>
      </c>
      <c r="B27" s="6">
        <v>6820</v>
      </c>
      <c r="C27" s="6">
        <v>5832</v>
      </c>
      <c r="D27" s="3"/>
      <c r="E27" s="11">
        <f t="shared" si="0"/>
        <v>1.1694101508916324</v>
      </c>
      <c r="F27" s="10">
        <v>1</v>
      </c>
    </row>
    <row r="28" spans="1:6" x14ac:dyDescent="0.25">
      <c r="A28" s="4" t="s">
        <v>25</v>
      </c>
      <c r="B28" s="6">
        <v>1820</v>
      </c>
      <c r="C28" s="6">
        <v>1342</v>
      </c>
      <c r="D28" s="3"/>
      <c r="E28" s="11">
        <f t="shared" si="0"/>
        <v>1.3561847988077496</v>
      </c>
      <c r="F28" s="10">
        <v>1</v>
      </c>
    </row>
    <row r="29" spans="1:6" x14ac:dyDescent="0.25">
      <c r="A29" s="1" t="s">
        <v>26</v>
      </c>
      <c r="B29" s="6">
        <v>74</v>
      </c>
      <c r="C29" s="6">
        <v>78</v>
      </c>
      <c r="D29" s="3"/>
      <c r="E29" s="11">
        <f t="shared" si="0"/>
        <v>0.94871794871794868</v>
      </c>
      <c r="F29" s="10">
        <v>1</v>
      </c>
    </row>
    <row r="30" spans="1:6" ht="15.75" thickBot="1" x14ac:dyDescent="0.3">
      <c r="A30" s="1" t="s">
        <v>27</v>
      </c>
      <c r="B30" s="6">
        <v>1262</v>
      </c>
      <c r="C30" s="6">
        <v>1275</v>
      </c>
      <c r="D30" s="3"/>
      <c r="E30" s="11">
        <f t="shared" si="0"/>
        <v>0.9898039215686274</v>
      </c>
      <c r="F30" s="10">
        <v>1</v>
      </c>
    </row>
    <row r="31" spans="1:6" ht="15.75" thickBot="1" x14ac:dyDescent="0.3">
      <c r="A31" s="7" t="s">
        <v>28</v>
      </c>
      <c r="B31" s="8">
        <f>B20+B22+B23+B26+B27+B28+B29+B30</f>
        <v>30156</v>
      </c>
      <c r="C31" s="9">
        <f>C20+C22+C23+C26+C27+C28+C29+C30</f>
        <v>27250</v>
      </c>
      <c r="D31" s="3"/>
      <c r="E31" s="11">
        <f t="shared" si="0"/>
        <v>1.1066422018348623</v>
      </c>
      <c r="F31" s="10">
        <v>1</v>
      </c>
    </row>
    <row r="32" spans="1:6" x14ac:dyDescent="0.25">
      <c r="B32" s="6"/>
      <c r="C32" s="6"/>
      <c r="D32" s="3"/>
      <c r="E32" s="11"/>
      <c r="F32" s="10"/>
    </row>
    <row r="33" spans="1:6" x14ac:dyDescent="0.25">
      <c r="A33" s="4" t="s">
        <v>6</v>
      </c>
      <c r="B33" s="6"/>
      <c r="C33" s="6"/>
      <c r="D33" s="3"/>
      <c r="E33" s="11"/>
      <c r="F33" s="10"/>
    </row>
    <row r="34" spans="1:6" x14ac:dyDescent="0.25">
      <c r="A34" s="4" t="s">
        <v>7</v>
      </c>
      <c r="B34" s="6"/>
      <c r="C34" s="6"/>
      <c r="D34" s="3"/>
      <c r="E34" s="11"/>
      <c r="F34" s="10"/>
    </row>
    <row r="35" spans="1:6" x14ac:dyDescent="0.25">
      <c r="A35" s="1" t="s">
        <v>29</v>
      </c>
      <c r="B35" s="6">
        <v>1269</v>
      </c>
      <c r="C35" s="6">
        <v>613</v>
      </c>
      <c r="D35" s="3"/>
      <c r="E35" s="11">
        <f t="shared" si="0"/>
        <v>2.0701468189233281</v>
      </c>
      <c r="F35" s="10">
        <v>1</v>
      </c>
    </row>
    <row r="36" spans="1:6" x14ac:dyDescent="0.25">
      <c r="A36" s="1" t="s">
        <v>30</v>
      </c>
      <c r="B36" s="6">
        <v>1662</v>
      </c>
      <c r="C36" s="6">
        <v>1453</v>
      </c>
      <c r="D36" s="3"/>
      <c r="E36" s="11">
        <f t="shared" si="0"/>
        <v>1.1438403303509979</v>
      </c>
      <c r="F36" s="10">
        <v>1</v>
      </c>
    </row>
    <row r="37" spans="1:6" x14ac:dyDescent="0.25">
      <c r="A37" s="1" t="s">
        <v>31</v>
      </c>
      <c r="B37" s="6">
        <v>778</v>
      </c>
      <c r="C37" s="6">
        <v>680</v>
      </c>
      <c r="D37" s="3"/>
      <c r="E37" s="11">
        <f t="shared" si="0"/>
        <v>1.1441176470588235</v>
      </c>
      <c r="F37" s="10">
        <v>1</v>
      </c>
    </row>
    <row r="38" spans="1:6" x14ac:dyDescent="0.25">
      <c r="A38" s="1" t="s">
        <v>32</v>
      </c>
      <c r="B38" s="6">
        <v>358</v>
      </c>
      <c r="C38" s="6">
        <v>252</v>
      </c>
      <c r="D38" s="3"/>
      <c r="E38" s="11">
        <f t="shared" si="0"/>
        <v>1.4206349206349207</v>
      </c>
      <c r="F38" s="10">
        <v>1</v>
      </c>
    </row>
    <row r="39" spans="1:6" x14ac:dyDescent="0.25">
      <c r="A39" s="1" t="s">
        <v>33</v>
      </c>
      <c r="B39" s="6">
        <v>2022</v>
      </c>
      <c r="C39" s="6">
        <v>1899</v>
      </c>
      <c r="D39" s="3"/>
      <c r="E39" s="11">
        <f t="shared" si="0"/>
        <v>1.0647709320695102</v>
      </c>
      <c r="F39" s="10">
        <v>1</v>
      </c>
    </row>
    <row r="40" spans="1:6" x14ac:dyDescent="0.25">
      <c r="A40" s="4" t="s">
        <v>34</v>
      </c>
      <c r="B40" s="6">
        <f>SUM(B35:B39)</f>
        <v>6089</v>
      </c>
      <c r="C40" s="6">
        <f>SUM(C35:C39)</f>
        <v>4897</v>
      </c>
      <c r="D40" s="3"/>
      <c r="E40" s="11">
        <f t="shared" si="0"/>
        <v>1.243414335307331</v>
      </c>
      <c r="F40" s="10">
        <v>1</v>
      </c>
    </row>
    <row r="41" spans="1:6" x14ac:dyDescent="0.25">
      <c r="A41" s="1" t="s">
        <v>35</v>
      </c>
      <c r="B41" s="6">
        <v>4183</v>
      </c>
      <c r="C41" s="6">
        <v>5097</v>
      </c>
      <c r="D41" s="3"/>
      <c r="E41" s="11">
        <f t="shared" si="0"/>
        <v>0.82067883068471648</v>
      </c>
      <c r="F41" s="10">
        <v>1</v>
      </c>
    </row>
    <row r="42" spans="1:6" x14ac:dyDescent="0.25">
      <c r="A42" s="1" t="s">
        <v>36</v>
      </c>
      <c r="B42" s="6">
        <v>2013</v>
      </c>
      <c r="C42" s="6">
        <v>2227</v>
      </c>
      <c r="D42" s="3"/>
      <c r="E42" s="11">
        <f t="shared" si="0"/>
        <v>0.90390660080826224</v>
      </c>
      <c r="F42" s="10">
        <v>1</v>
      </c>
    </row>
    <row r="43" spans="1:6" x14ac:dyDescent="0.25">
      <c r="A43" s="1" t="s">
        <v>37</v>
      </c>
      <c r="B43" s="6">
        <v>1854</v>
      </c>
      <c r="C43" s="6">
        <v>1727</v>
      </c>
      <c r="D43" s="3"/>
      <c r="E43" s="11">
        <f t="shared" si="0"/>
        <v>1.0735379270411118</v>
      </c>
      <c r="F43" s="10">
        <v>1</v>
      </c>
    </row>
    <row r="44" spans="1:6" x14ac:dyDescent="0.25">
      <c r="A44" s="4" t="s">
        <v>38</v>
      </c>
      <c r="B44" s="6">
        <f>SUM(B40:B43)</f>
        <v>14139</v>
      </c>
      <c r="C44" s="6">
        <f>SUM(C40:C43)</f>
        <v>13948</v>
      </c>
      <c r="D44" s="3"/>
      <c r="E44" s="11">
        <f t="shared" si="0"/>
        <v>1.0136937195296816</v>
      </c>
      <c r="F44" s="10">
        <v>1</v>
      </c>
    </row>
    <row r="45" spans="1:6" x14ac:dyDescent="0.25">
      <c r="B45" s="6"/>
      <c r="C45" s="6"/>
      <c r="D45" s="3"/>
      <c r="E45" s="11"/>
      <c r="F45" s="10"/>
    </row>
    <row r="46" spans="1:6" x14ac:dyDescent="0.25">
      <c r="A46" s="4" t="s">
        <v>8</v>
      </c>
      <c r="B46" s="6"/>
      <c r="C46" s="6"/>
      <c r="D46" s="3"/>
      <c r="E46" s="11"/>
      <c r="F46" s="10"/>
    </row>
    <row r="47" spans="1:6" x14ac:dyDescent="0.25">
      <c r="A47" s="1" t="s">
        <v>39</v>
      </c>
      <c r="B47" s="6">
        <f>3468+9</f>
        <v>3477</v>
      </c>
      <c r="C47" s="6">
        <f>3153+9</f>
        <v>3162</v>
      </c>
      <c r="D47" s="3"/>
      <c r="E47" s="11">
        <f t="shared" si="0"/>
        <v>1.0996204933586338</v>
      </c>
      <c r="F47" s="10">
        <v>1</v>
      </c>
    </row>
    <row r="48" spans="1:6" x14ac:dyDescent="0.25">
      <c r="A48" s="1" t="s">
        <v>40</v>
      </c>
      <c r="B48" s="6">
        <v>25995</v>
      </c>
      <c r="C48" s="6">
        <v>23753</v>
      </c>
      <c r="D48" s="3"/>
      <c r="E48" s="11">
        <f t="shared" si="0"/>
        <v>1.0943880772954995</v>
      </c>
      <c r="F48" s="10">
        <v>1</v>
      </c>
    </row>
    <row r="49" spans="1:6" x14ac:dyDescent="0.25">
      <c r="A49" s="1" t="s">
        <v>41</v>
      </c>
      <c r="B49" s="6">
        <v>-10266</v>
      </c>
      <c r="C49" s="6">
        <v>-10397</v>
      </c>
      <c r="D49" s="3"/>
      <c r="E49" s="11">
        <f t="shared" si="0"/>
        <v>0.98740021159949987</v>
      </c>
      <c r="F49" s="10">
        <v>1</v>
      </c>
    </row>
    <row r="50" spans="1:6" x14ac:dyDescent="0.25">
      <c r="A50" s="1" t="s">
        <v>42</v>
      </c>
      <c r="B50" s="6">
        <v>-3543</v>
      </c>
      <c r="C50" s="6">
        <v>-3754</v>
      </c>
      <c r="D50" s="3"/>
      <c r="E50" s="11">
        <f t="shared" si="0"/>
        <v>0.94379328716036226</v>
      </c>
      <c r="F50" s="10">
        <v>1</v>
      </c>
    </row>
    <row r="51" spans="1:6" x14ac:dyDescent="0.25">
      <c r="A51" s="1" t="s">
        <v>43</v>
      </c>
      <c r="B51" s="6">
        <f>SUM(B47:B50)</f>
        <v>15663</v>
      </c>
      <c r="C51" s="6">
        <f>SUM(C47:C50)</f>
        <v>12764</v>
      </c>
      <c r="D51" s="3"/>
      <c r="E51" s="11">
        <f t="shared" si="0"/>
        <v>1.2271231588843623</v>
      </c>
      <c r="F51" s="10">
        <v>1</v>
      </c>
    </row>
    <row r="52" spans="1:6" x14ac:dyDescent="0.25">
      <c r="A52" s="1" t="s">
        <v>44</v>
      </c>
      <c r="B52" s="6">
        <v>354</v>
      </c>
      <c r="C52" s="6">
        <v>538</v>
      </c>
      <c r="D52" s="3"/>
      <c r="E52" s="11">
        <f t="shared" si="0"/>
        <v>0.65799256505576209</v>
      </c>
      <c r="F52" s="10">
        <v>1</v>
      </c>
    </row>
    <row r="53" spans="1:6" x14ac:dyDescent="0.25">
      <c r="B53" s="6"/>
      <c r="C53" s="6"/>
      <c r="D53" s="3"/>
      <c r="E53" s="11"/>
      <c r="F53" s="10"/>
    </row>
    <row r="54" spans="1:6" x14ac:dyDescent="0.25">
      <c r="A54" s="4" t="s">
        <v>45</v>
      </c>
      <c r="B54" s="6">
        <f>SUM(B51:B52)</f>
        <v>16017</v>
      </c>
      <c r="C54" s="6">
        <f>SUM(C51:C52)</f>
        <v>13302</v>
      </c>
      <c r="D54" s="3"/>
      <c r="E54" s="11">
        <f t="shared" si="0"/>
        <v>1.204104645917907</v>
      </c>
      <c r="F54" s="10">
        <v>1</v>
      </c>
    </row>
    <row r="55" spans="1:6" ht="15.75" thickBot="1" x14ac:dyDescent="0.3">
      <c r="B55" s="6"/>
      <c r="C55" s="6"/>
      <c r="D55" s="3"/>
      <c r="E55" s="11"/>
      <c r="F55" s="10"/>
    </row>
    <row r="56" spans="1:6" ht="15.75" thickBot="1" x14ac:dyDescent="0.3">
      <c r="A56" s="7" t="s">
        <v>46</v>
      </c>
      <c r="B56" s="8">
        <f>B54+B44</f>
        <v>30156</v>
      </c>
      <c r="C56" s="9">
        <f>C54+C44</f>
        <v>27250</v>
      </c>
      <c r="D56" s="3"/>
      <c r="E56" s="11">
        <f t="shared" si="0"/>
        <v>1.1066422018348623</v>
      </c>
      <c r="F56" s="10">
        <v>1</v>
      </c>
    </row>
  </sheetData>
  <mergeCells count="4">
    <mergeCell ref="A1:D1"/>
    <mergeCell ref="A2:D2"/>
    <mergeCell ref="A3:D3"/>
    <mergeCell ref="E4:F4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0"/>
  <sheetViews>
    <sheetView zoomScale="90" zoomScaleNormal="90" workbookViewId="0">
      <selection activeCell="E4" sqref="E4:F4"/>
    </sheetView>
  </sheetViews>
  <sheetFormatPr baseColWidth="10" defaultRowHeight="15" x14ac:dyDescent="0.25"/>
  <cols>
    <col min="1" max="1" width="45.5703125" style="1" customWidth="1"/>
    <col min="2" max="2" width="29" style="1" bestFit="1" customWidth="1"/>
    <col min="3" max="3" width="11.42578125" style="13"/>
    <col min="4" max="4" width="11.42578125" style="11"/>
    <col min="5" max="5" width="11.42578125" style="13"/>
    <col min="6" max="6" width="11.42578125" style="11"/>
    <col min="7" max="16384" width="11.42578125" style="1"/>
  </cols>
  <sheetData>
    <row r="1" spans="1:6" x14ac:dyDescent="0.25">
      <c r="A1" s="42" t="s">
        <v>70</v>
      </c>
      <c r="B1" s="42"/>
      <c r="C1" s="42"/>
      <c r="D1" s="42"/>
      <c r="E1" s="42"/>
      <c r="F1" s="42"/>
    </row>
    <row r="2" spans="1:6" x14ac:dyDescent="0.25">
      <c r="A2" s="12" t="s">
        <v>71</v>
      </c>
    </row>
    <row r="3" spans="1:6" x14ac:dyDescent="0.25">
      <c r="A3" s="12" t="s">
        <v>72</v>
      </c>
    </row>
    <row r="4" spans="1:6" x14ac:dyDescent="0.25">
      <c r="A4" s="4" t="s">
        <v>73</v>
      </c>
      <c r="C4" s="41">
        <v>2010</v>
      </c>
      <c r="D4" s="41"/>
      <c r="E4" s="41">
        <v>2009</v>
      </c>
      <c r="F4" s="41"/>
    </row>
    <row r="5" spans="1:6" x14ac:dyDescent="0.25">
      <c r="A5" s="14" t="s">
        <v>74</v>
      </c>
      <c r="B5" s="15" t="s">
        <v>126</v>
      </c>
      <c r="C5" s="16">
        <f>EE.RR!B26</f>
        <v>4085</v>
      </c>
      <c r="D5" s="17">
        <f>C5/C6</f>
        <v>0.13546226289958879</v>
      </c>
      <c r="E5" s="16">
        <f>EE.RR!C26</f>
        <v>3193</v>
      </c>
      <c r="F5" s="18">
        <f>E5/E6</f>
        <v>0.1171743119266055</v>
      </c>
    </row>
    <row r="6" spans="1:6" x14ac:dyDescent="0.25">
      <c r="A6" s="21"/>
      <c r="B6" s="22"/>
      <c r="C6" s="23">
        <f>Balance!B31</f>
        <v>30156</v>
      </c>
      <c r="D6" s="24"/>
      <c r="E6" s="23">
        <f>Balance!C31</f>
        <v>27250</v>
      </c>
      <c r="F6" s="25"/>
    </row>
    <row r="8" spans="1:6" x14ac:dyDescent="0.25">
      <c r="A8" s="1" t="s">
        <v>75</v>
      </c>
    </row>
    <row r="9" spans="1:6" x14ac:dyDescent="0.25">
      <c r="A9" s="14" t="s">
        <v>76</v>
      </c>
      <c r="B9" s="15" t="s">
        <v>125</v>
      </c>
      <c r="C9" s="16">
        <f>C5</f>
        <v>4085</v>
      </c>
      <c r="D9" s="17">
        <f>C9/C10</f>
        <v>0.25504151838671413</v>
      </c>
      <c r="E9" s="16">
        <f>E5</f>
        <v>3193</v>
      </c>
      <c r="F9" s="18">
        <f>E9/E10</f>
        <v>0.24003909186588482</v>
      </c>
    </row>
    <row r="10" spans="1:6" x14ac:dyDescent="0.25">
      <c r="A10" s="21"/>
      <c r="B10" s="22"/>
      <c r="C10" s="23">
        <f>Balance!B54</f>
        <v>16017</v>
      </c>
      <c r="D10" s="24"/>
      <c r="E10" s="23">
        <f>Balance!C54</f>
        <v>13302</v>
      </c>
      <c r="F10" s="25"/>
    </row>
    <row r="12" spans="1:6" x14ac:dyDescent="0.25">
      <c r="A12" s="4" t="s">
        <v>77</v>
      </c>
    </row>
    <row r="13" spans="1:6" x14ac:dyDescent="0.25">
      <c r="A13" s="14" t="s">
        <v>78</v>
      </c>
      <c r="B13" s="15" t="s">
        <v>79</v>
      </c>
      <c r="C13" s="16">
        <f>EE.RR!B10</f>
        <v>12831</v>
      </c>
      <c r="D13" s="17">
        <f>C13/C14</f>
        <v>0.48124671817568077</v>
      </c>
      <c r="E13" s="16">
        <f>EE.RR!C10</f>
        <v>11014</v>
      </c>
      <c r="F13" s="17">
        <f>E13/E14</f>
        <v>0.47632227652121267</v>
      </c>
    </row>
    <row r="14" spans="1:6" x14ac:dyDescent="0.25">
      <c r="A14" s="21"/>
      <c r="B14" s="22"/>
      <c r="C14" s="23">
        <f>EE.RR!B7</f>
        <v>26662</v>
      </c>
      <c r="D14" s="24"/>
      <c r="E14" s="23">
        <f>EE.RR!C7</f>
        <v>23123</v>
      </c>
      <c r="F14" s="24"/>
    </row>
    <row r="16" spans="1:6" x14ac:dyDescent="0.25">
      <c r="A16" s="14" t="s">
        <v>80</v>
      </c>
      <c r="B16" s="15" t="s">
        <v>81</v>
      </c>
      <c r="C16" s="16">
        <f>EE.RR!B16</f>
        <v>5918</v>
      </c>
      <c r="D16" s="17">
        <f>C16/C17</f>
        <v>0.22196384367264271</v>
      </c>
      <c r="E16" s="16">
        <f>EE.RR!C16</f>
        <v>4814</v>
      </c>
      <c r="F16" s="17">
        <f>E16/E17</f>
        <v>0.20819097867923711</v>
      </c>
    </row>
    <row r="17" spans="1:6" x14ac:dyDescent="0.25">
      <c r="A17" s="21"/>
      <c r="B17" s="22"/>
      <c r="C17" s="23">
        <f>C14</f>
        <v>26662</v>
      </c>
      <c r="D17" s="24"/>
      <c r="E17" s="23">
        <f>E14</f>
        <v>23123</v>
      </c>
      <c r="F17" s="24"/>
    </row>
    <row r="19" spans="1:6" x14ac:dyDescent="0.25">
      <c r="A19" s="14" t="s">
        <v>82</v>
      </c>
      <c r="B19" s="15" t="s">
        <v>83</v>
      </c>
      <c r="C19" s="16">
        <f>C9</f>
        <v>4085</v>
      </c>
      <c r="D19" s="17">
        <f>C19/C20</f>
        <v>0.15321431250468831</v>
      </c>
      <c r="E19" s="16">
        <f>E9</f>
        <v>3193</v>
      </c>
      <c r="F19" s="17">
        <f>E19/E20</f>
        <v>0.13808761838861738</v>
      </c>
    </row>
    <row r="20" spans="1:6" x14ac:dyDescent="0.25">
      <c r="A20" s="21"/>
      <c r="B20" s="22"/>
      <c r="C20" s="23">
        <f>C14</f>
        <v>26662</v>
      </c>
      <c r="D20" s="24"/>
      <c r="E20" s="23">
        <f>E17</f>
        <v>23123</v>
      </c>
      <c r="F20" s="24"/>
    </row>
    <row r="22" spans="1:6" x14ac:dyDescent="0.25">
      <c r="A22" s="14" t="s">
        <v>84</v>
      </c>
      <c r="B22" s="15" t="s">
        <v>85</v>
      </c>
      <c r="C22" s="16">
        <f>C17</f>
        <v>26662</v>
      </c>
      <c r="D22" s="26">
        <f>C22/C23</f>
        <v>0.88413582703276294</v>
      </c>
      <c r="E22" s="16">
        <f>E17</f>
        <v>23123</v>
      </c>
      <c r="F22" s="26">
        <f>E22/E23</f>
        <v>0.84855045871559631</v>
      </c>
    </row>
    <row r="23" spans="1:6" x14ac:dyDescent="0.25">
      <c r="A23" s="21"/>
      <c r="B23" s="22"/>
      <c r="C23" s="23">
        <f>Balance!B31</f>
        <v>30156</v>
      </c>
      <c r="D23" s="24"/>
      <c r="E23" s="23">
        <f>E6</f>
        <v>27250</v>
      </c>
      <c r="F23" s="24"/>
    </row>
    <row r="25" spans="1:6" x14ac:dyDescent="0.25">
      <c r="A25" s="14" t="s">
        <v>86</v>
      </c>
      <c r="B25" s="15" t="s">
        <v>87</v>
      </c>
      <c r="C25" s="16">
        <f>C22</f>
        <v>26662</v>
      </c>
      <c r="D25" s="26">
        <f>C25/C26</f>
        <v>8.4507131537242479</v>
      </c>
      <c r="E25" s="16">
        <f>E22</f>
        <v>23123</v>
      </c>
      <c r="F25" s="26">
        <f>E25/E26</f>
        <v>8.7620310723758994</v>
      </c>
    </row>
    <row r="26" spans="1:6" x14ac:dyDescent="0.25">
      <c r="A26" s="21"/>
      <c r="B26" s="22"/>
      <c r="C26" s="23">
        <f>Balance!B17</f>
        <v>3155</v>
      </c>
      <c r="D26" s="27"/>
      <c r="E26" s="23">
        <f>Balance!C17</f>
        <v>2639</v>
      </c>
      <c r="F26" s="27"/>
    </row>
    <row r="27" spans="1:6" x14ac:dyDescent="0.25">
      <c r="D27" s="28"/>
      <c r="F27" s="28"/>
    </row>
    <row r="28" spans="1:6" x14ac:dyDescent="0.25">
      <c r="A28" s="14" t="s">
        <v>88</v>
      </c>
      <c r="B28" s="15" t="s">
        <v>89</v>
      </c>
      <c r="C28" s="16">
        <f>EE.RR!B9</f>
        <v>13831</v>
      </c>
      <c r="D28" s="26">
        <f>C28/C29</f>
        <v>4.3838351822503965</v>
      </c>
      <c r="E28" s="16">
        <f>EE.RR!C9</f>
        <v>12109</v>
      </c>
      <c r="F28" s="26">
        <f>E28/E29</f>
        <v>4.5884804850322087</v>
      </c>
    </row>
    <row r="29" spans="1:6" x14ac:dyDescent="0.25">
      <c r="A29" s="21"/>
      <c r="B29" s="22"/>
      <c r="C29" s="23">
        <f>C26</f>
        <v>3155</v>
      </c>
      <c r="D29" s="27"/>
      <c r="E29" s="23">
        <f>E26</f>
        <v>2639</v>
      </c>
      <c r="F29" s="27"/>
    </row>
    <row r="30" spans="1:6" x14ac:dyDescent="0.25">
      <c r="D30" s="28"/>
      <c r="F30" s="28"/>
    </row>
    <row r="31" spans="1:6" x14ac:dyDescent="0.25">
      <c r="A31" s="14" t="s">
        <v>90</v>
      </c>
      <c r="B31" s="15" t="s">
        <v>91</v>
      </c>
      <c r="C31" s="16">
        <f>C25</f>
        <v>26662</v>
      </c>
      <c r="D31" s="26">
        <f>C31/C32</f>
        <v>7.3753803596127252</v>
      </c>
      <c r="E31" s="16">
        <f>E25</f>
        <v>23123</v>
      </c>
      <c r="F31" s="26">
        <f>E31/E32</f>
        <v>7.1147692307692312</v>
      </c>
    </row>
    <row r="32" spans="1:6" x14ac:dyDescent="0.25">
      <c r="A32" s="21"/>
      <c r="B32" s="22"/>
      <c r="C32" s="23">
        <f>Balance!B11</f>
        <v>3615</v>
      </c>
      <c r="D32" s="27"/>
      <c r="E32" s="23">
        <f>Balance!C11</f>
        <v>3250</v>
      </c>
      <c r="F32" s="27"/>
    </row>
    <row r="33" spans="1:6" x14ac:dyDescent="0.25">
      <c r="D33" s="28"/>
      <c r="F33" s="28"/>
    </row>
    <row r="34" spans="1:6" x14ac:dyDescent="0.25">
      <c r="A34" s="14" t="s">
        <v>92</v>
      </c>
      <c r="B34" s="15" t="s">
        <v>93</v>
      </c>
      <c r="C34" s="29">
        <f>C32</f>
        <v>3615</v>
      </c>
      <c r="D34" s="26">
        <f>C34/C35</f>
        <v>48.811041932338156</v>
      </c>
      <c r="E34" s="29">
        <f>E32</f>
        <v>3250</v>
      </c>
      <c r="F34" s="26">
        <f>E34/E35</f>
        <v>50.598970721792156</v>
      </c>
    </row>
    <row r="35" spans="1:6" x14ac:dyDescent="0.25">
      <c r="A35" s="21"/>
      <c r="B35" s="22"/>
      <c r="C35" s="23">
        <f>C31/360</f>
        <v>74.061111111111117</v>
      </c>
      <c r="D35" s="27"/>
      <c r="E35" s="23">
        <f>E31/360</f>
        <v>64.230555555555554</v>
      </c>
      <c r="F35" s="27"/>
    </row>
    <row r="36" spans="1:6" x14ac:dyDescent="0.25">
      <c r="D36" s="28"/>
      <c r="F36" s="28"/>
    </row>
    <row r="37" spans="1:6" x14ac:dyDescent="0.25">
      <c r="A37" s="14" t="s">
        <v>94</v>
      </c>
      <c r="B37" s="15" t="s">
        <v>95</v>
      </c>
      <c r="C37" s="16">
        <f>C31</f>
        <v>26662</v>
      </c>
      <c r="D37" s="26">
        <f>C37/C38</f>
        <v>3.6628657782662453</v>
      </c>
      <c r="E37" s="16">
        <f>E31</f>
        <v>23123</v>
      </c>
      <c r="F37" s="26">
        <f>E37/E38</f>
        <v>3.3032857142857144</v>
      </c>
    </row>
    <row r="38" spans="1:6" x14ac:dyDescent="0.25">
      <c r="A38" s="21"/>
      <c r="B38" s="22"/>
      <c r="C38" s="23">
        <f>Balance!B26</f>
        <v>7279</v>
      </c>
      <c r="D38" s="27"/>
      <c r="E38" s="23">
        <f>Balance!C26</f>
        <v>7000</v>
      </c>
      <c r="F38" s="27"/>
    </row>
    <row r="40" spans="1:6" x14ac:dyDescent="0.25">
      <c r="A40" s="14" t="s">
        <v>96</v>
      </c>
      <c r="B40" s="15" t="s">
        <v>97</v>
      </c>
      <c r="C40" s="16">
        <f>C29</f>
        <v>3155</v>
      </c>
      <c r="D40" s="26">
        <f>C40/C41</f>
        <v>82.119875641674497</v>
      </c>
      <c r="E40" s="16">
        <f>E29</f>
        <v>2639</v>
      </c>
      <c r="F40" s="26">
        <f>E40/E41</f>
        <v>78.457345775869186</v>
      </c>
    </row>
    <row r="41" spans="1:6" x14ac:dyDescent="0.25">
      <c r="A41" s="21"/>
      <c r="B41" s="22"/>
      <c r="C41" s="23">
        <f>EE.RR!B9/360</f>
        <v>38.419444444444444</v>
      </c>
      <c r="D41" s="24"/>
      <c r="E41" s="23">
        <f>EE.RR!C9/360</f>
        <v>33.636111111111113</v>
      </c>
      <c r="F41" s="24"/>
    </row>
    <row r="43" spans="1:6" x14ac:dyDescent="0.25">
      <c r="A43" s="4" t="s">
        <v>98</v>
      </c>
    </row>
    <row r="45" spans="1:6" x14ac:dyDescent="0.25">
      <c r="A45" s="14" t="s">
        <v>99</v>
      </c>
      <c r="B45" s="15" t="s">
        <v>100</v>
      </c>
      <c r="C45" s="16">
        <f>Balance!B44</f>
        <v>14139</v>
      </c>
      <c r="D45" s="17">
        <f>C45/C46</f>
        <v>0.88274957857276648</v>
      </c>
      <c r="E45" s="16">
        <f>Balance!C44</f>
        <v>13948</v>
      </c>
      <c r="F45" s="17">
        <f>E45/E46</f>
        <v>1.0485641256953842</v>
      </c>
    </row>
    <row r="46" spans="1:6" x14ac:dyDescent="0.25">
      <c r="A46" s="21"/>
      <c r="B46" s="22" t="s">
        <v>127</v>
      </c>
      <c r="C46" s="23">
        <f>Balance!B54</f>
        <v>16017</v>
      </c>
      <c r="D46" s="24"/>
      <c r="E46" s="23">
        <f>Balance!C54</f>
        <v>13302</v>
      </c>
      <c r="F46" s="24"/>
    </row>
    <row r="48" spans="1:6" x14ac:dyDescent="0.25">
      <c r="A48" s="14" t="s">
        <v>101</v>
      </c>
      <c r="B48" s="15" t="s">
        <v>102</v>
      </c>
      <c r="C48" s="16">
        <f>Balance!B41+Balance!B42+Balance!B43</f>
        <v>8050</v>
      </c>
      <c r="D48" s="17">
        <f>C48/C49</f>
        <v>0.50259099706561783</v>
      </c>
      <c r="E48" s="16">
        <f>Balance!C41+Balance!C42+Balance!C43</f>
        <v>9051</v>
      </c>
      <c r="F48" s="17">
        <f>E48/E49</f>
        <v>0.68042399639152007</v>
      </c>
    </row>
    <row r="49" spans="1:6" x14ac:dyDescent="0.25">
      <c r="A49" s="21"/>
      <c r="B49" s="22"/>
      <c r="C49" s="23">
        <f>C46</f>
        <v>16017</v>
      </c>
      <c r="D49" s="24"/>
      <c r="E49" s="23">
        <f>E46</f>
        <v>13302</v>
      </c>
      <c r="F49" s="24"/>
    </row>
    <row r="51" spans="1:6" x14ac:dyDescent="0.25">
      <c r="A51" s="14" t="s">
        <v>103</v>
      </c>
      <c r="B51" s="15" t="s">
        <v>104</v>
      </c>
      <c r="C51" s="16">
        <f>C45</f>
        <v>14139</v>
      </c>
      <c r="D51" s="17">
        <f>C51/C52</f>
        <v>0.46886191802626342</v>
      </c>
      <c r="E51" s="16">
        <f>E45</f>
        <v>13948</v>
      </c>
      <c r="F51" s="17">
        <f>E51/E52</f>
        <v>0.51185321100917436</v>
      </c>
    </row>
    <row r="52" spans="1:6" x14ac:dyDescent="0.25">
      <c r="A52" s="21"/>
      <c r="B52" s="22"/>
      <c r="C52" s="23">
        <f>Balance!B31</f>
        <v>30156</v>
      </c>
      <c r="D52" s="24"/>
      <c r="E52" s="23">
        <f>Balance!C31</f>
        <v>27250</v>
      </c>
      <c r="F52" s="24"/>
    </row>
    <row r="54" spans="1:6" x14ac:dyDescent="0.25">
      <c r="A54" s="14" t="s">
        <v>105</v>
      </c>
      <c r="B54" s="15" t="s">
        <v>106</v>
      </c>
      <c r="C54" s="16">
        <f>C52</f>
        <v>30156</v>
      </c>
      <c r="D54" s="26">
        <f>C54/C55</f>
        <v>1.8827495785727664</v>
      </c>
      <c r="E54" s="16">
        <f>E52</f>
        <v>27250</v>
      </c>
      <c r="F54" s="26">
        <f>E54/E55</f>
        <v>2.0485641256953842</v>
      </c>
    </row>
    <row r="55" spans="1:6" x14ac:dyDescent="0.25">
      <c r="A55" s="21"/>
      <c r="B55" s="22"/>
      <c r="C55" s="23">
        <f>C46</f>
        <v>16017</v>
      </c>
      <c r="D55" s="27"/>
      <c r="E55" s="23">
        <f>E46</f>
        <v>13302</v>
      </c>
      <c r="F55" s="27"/>
    </row>
    <row r="57" spans="1:6" x14ac:dyDescent="0.25">
      <c r="A57" s="4" t="s">
        <v>107</v>
      </c>
    </row>
    <row r="59" spans="1:6" x14ac:dyDescent="0.25">
      <c r="A59" s="14" t="s">
        <v>108</v>
      </c>
      <c r="B59" s="15" t="s">
        <v>109</v>
      </c>
      <c r="C59" s="16">
        <f>Balance!B20</f>
        <v>12215</v>
      </c>
      <c r="D59" s="26">
        <f>C59/C60</f>
        <v>2.0060765314501561</v>
      </c>
      <c r="E59" s="16">
        <f>Balance!C20</f>
        <v>10795</v>
      </c>
      <c r="F59" s="26">
        <f>E59/E60</f>
        <v>2.2044108637941595</v>
      </c>
    </row>
    <row r="60" spans="1:6" x14ac:dyDescent="0.25">
      <c r="A60" s="21"/>
      <c r="B60" s="22"/>
      <c r="C60" s="23">
        <f>Balance!B40</f>
        <v>6089</v>
      </c>
      <c r="D60" s="27"/>
      <c r="E60" s="23">
        <f>Balance!C40</f>
        <v>4897</v>
      </c>
      <c r="F60" s="27"/>
    </row>
    <row r="62" spans="1:6" x14ac:dyDescent="0.25">
      <c r="A62" s="14" t="s">
        <v>110</v>
      </c>
      <c r="B62" s="15" t="s">
        <v>111</v>
      </c>
      <c r="C62" s="16">
        <f>Balance!B20-Balance!B17</f>
        <v>9060</v>
      </c>
      <c r="D62" s="26">
        <f>C62/C63</f>
        <v>1.487929052389555</v>
      </c>
      <c r="E62" s="16">
        <f>Balance!C20-Balance!C17</f>
        <v>8156</v>
      </c>
      <c r="F62" s="26">
        <f>E62/E63</f>
        <v>1.6655094956095569</v>
      </c>
    </row>
    <row r="63" spans="1:6" x14ac:dyDescent="0.25">
      <c r="A63" s="21"/>
      <c r="B63" s="22"/>
      <c r="C63" s="23">
        <f>C60</f>
        <v>6089</v>
      </c>
      <c r="D63" s="27"/>
      <c r="E63" s="23">
        <f>E60</f>
        <v>4897</v>
      </c>
      <c r="F63" s="27"/>
    </row>
    <row r="65" spans="1:6" x14ac:dyDescent="0.25">
      <c r="A65" s="14" t="s">
        <v>112</v>
      </c>
      <c r="B65" s="15" t="s">
        <v>113</v>
      </c>
      <c r="C65" s="16">
        <f>Balance!B9+Balance!B10</f>
        <v>4478</v>
      </c>
      <c r="D65" s="26">
        <f>C65/C66</f>
        <v>0.73542453604861224</v>
      </c>
      <c r="E65" s="16">
        <f>Balance!C9+Balance!C10</f>
        <v>3784</v>
      </c>
      <c r="F65" s="26">
        <f>E65/E66</f>
        <v>0.77271799060649382</v>
      </c>
    </row>
    <row r="66" spans="1:6" x14ac:dyDescent="0.25">
      <c r="A66" s="21"/>
      <c r="B66" s="22"/>
      <c r="C66" s="23">
        <f>C63</f>
        <v>6089</v>
      </c>
      <c r="D66" s="27"/>
      <c r="E66" s="23">
        <f>E63</f>
        <v>4897</v>
      </c>
      <c r="F66" s="27"/>
    </row>
    <row r="68" spans="1:6" x14ac:dyDescent="0.25">
      <c r="A68" s="14" t="s">
        <v>114</v>
      </c>
      <c r="B68" s="15" t="s">
        <v>115</v>
      </c>
      <c r="C68" s="16">
        <f>Balance!B20-Balance!B19-Balance!B17</f>
        <v>8093</v>
      </c>
      <c r="D68" s="26">
        <f>C68/C69</f>
        <v>421.4494430782583</v>
      </c>
      <c r="E68" s="16">
        <f>Balance!C20-Balance!C19-Balance!C17</f>
        <v>7034</v>
      </c>
      <c r="F68" s="26">
        <f>E68/E69</f>
        <v>408.42580645161291</v>
      </c>
    </row>
    <row r="69" spans="1:6" x14ac:dyDescent="0.25">
      <c r="A69" s="19"/>
      <c r="B69" s="1" t="s">
        <v>116</v>
      </c>
      <c r="C69" s="13">
        <f>(EE.RR!B15/360)</f>
        <v>19.202777777777779</v>
      </c>
      <c r="D69" s="30"/>
      <c r="E69" s="13">
        <f>EE.RR!C15/360</f>
        <v>17.222222222222221</v>
      </c>
      <c r="F69" s="30"/>
    </row>
    <row r="70" spans="1:6" x14ac:dyDescent="0.25">
      <c r="A70" s="19"/>
      <c r="D70" s="20"/>
      <c r="F70" s="20"/>
    </row>
  </sheetData>
  <mergeCells count="3">
    <mergeCell ref="A1:F1"/>
    <mergeCell ref="C4:D4"/>
    <mergeCell ref="E4:F4"/>
  </mergeCells>
  <pageMargins left="0.7" right="0.7" top="0.75" bottom="0.75" header="0.3" footer="0.3"/>
  <pageSetup paperSize="9" orientation="portrait" horizontalDpi="0" verticalDpi="0" r:id="rId1"/>
  <ignoredErrors>
    <ignoredError sqref="E5 D9:E9 E13 E16 D19:E19 D22 D25 E22:E25 E28 D34 D31 D32:E33 E31 D35:E37 E34 D40 E45 E40:E44 E46:E48 D51 D54 E51:E54 E59 E62 E65 E6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zoomScale="90" zoomScaleNormal="90" workbookViewId="0">
      <selection activeCell="A28" sqref="A28"/>
    </sheetView>
  </sheetViews>
  <sheetFormatPr baseColWidth="10" defaultRowHeight="15" x14ac:dyDescent="0.25"/>
  <cols>
    <col min="1" max="1" width="28.5703125" style="1" bestFit="1" customWidth="1"/>
    <col min="2" max="2" width="11.42578125" style="1"/>
    <col min="3" max="3" width="3.28515625" style="1" customWidth="1"/>
    <col min="4" max="4" width="11.42578125" style="1"/>
    <col min="5" max="5" width="2" style="1" bestFit="1" customWidth="1"/>
    <col min="6" max="6" width="11.42578125" style="1"/>
    <col min="7" max="7" width="2" style="1" bestFit="1" customWidth="1"/>
    <col min="8" max="16384" width="11.42578125" style="1"/>
  </cols>
  <sheetData>
    <row r="1" spans="1:8" x14ac:dyDescent="0.25">
      <c r="A1" s="42" t="s">
        <v>117</v>
      </c>
      <c r="B1" s="42"/>
      <c r="C1" s="42"/>
      <c r="D1" s="42"/>
      <c r="E1" s="42"/>
      <c r="F1" s="42"/>
      <c r="G1" s="42"/>
      <c r="H1" s="42"/>
    </row>
    <row r="3" spans="1:8" x14ac:dyDescent="0.25">
      <c r="A3" s="12" t="s">
        <v>129</v>
      </c>
    </row>
    <row r="4" spans="1:8" ht="15.75" thickBot="1" x14ac:dyDescent="0.3"/>
    <row r="5" spans="1:8" ht="15.75" thickTop="1" x14ac:dyDescent="0.25">
      <c r="B5" s="31" t="s">
        <v>118</v>
      </c>
      <c r="C5" s="32" t="s">
        <v>119</v>
      </c>
      <c r="D5" s="33" t="s">
        <v>118</v>
      </c>
      <c r="E5" s="32" t="s">
        <v>120</v>
      </c>
      <c r="F5" s="33" t="s">
        <v>121</v>
      </c>
      <c r="G5" s="32" t="s">
        <v>120</v>
      </c>
      <c r="H5" s="34" t="s">
        <v>122</v>
      </c>
    </row>
    <row r="6" spans="1:8" ht="15.75" thickBot="1" x14ac:dyDescent="0.3">
      <c r="B6" s="35" t="s">
        <v>123</v>
      </c>
      <c r="C6" s="36"/>
      <c r="D6" s="36" t="s">
        <v>121</v>
      </c>
      <c r="E6" s="36"/>
      <c r="F6" s="36" t="s">
        <v>122</v>
      </c>
      <c r="G6" s="36"/>
      <c r="H6" s="37" t="s">
        <v>124</v>
      </c>
    </row>
    <row r="7" spans="1:8" ht="15.75" thickTop="1" x14ac:dyDescent="0.25">
      <c r="C7" s="2"/>
    </row>
    <row r="8" spans="1:8" x14ac:dyDescent="0.25">
      <c r="A8" s="12" t="s">
        <v>128</v>
      </c>
      <c r="C8" s="2"/>
    </row>
    <row r="9" spans="1:8" x14ac:dyDescent="0.25">
      <c r="A9" s="1">
        <v>2010</v>
      </c>
      <c r="B9" s="11">
        <f>Ratios!D9</f>
        <v>0.25504151838671413</v>
      </c>
      <c r="C9" s="2" t="s">
        <v>119</v>
      </c>
      <c r="D9" s="38">
        <f>EE.RR!B26/EE.RR!B7</f>
        <v>0.15321431250468831</v>
      </c>
      <c r="E9" s="2"/>
      <c r="F9" s="39">
        <f>EE.RR!B7/Balance!B31</f>
        <v>0.88413582703276294</v>
      </c>
      <c r="G9" s="2"/>
      <c r="H9" s="39">
        <f>Balance!B31/Balance!B54</f>
        <v>1.8827495785727664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s="1">
        <v>2009</v>
      </c>
      <c r="B11" s="11">
        <f>EE.RR!C26/Balance!C54</f>
        <v>0.24003909186588482</v>
      </c>
      <c r="C11" s="2" t="s">
        <v>119</v>
      </c>
      <c r="D11" s="38">
        <f>EE.RR!C26/EE.RR!C7</f>
        <v>0.13808761838861738</v>
      </c>
      <c r="E11" s="2"/>
      <c r="F11" s="39">
        <f>EE.RR!C7/Balance!C31</f>
        <v>0.84855045871559631</v>
      </c>
      <c r="G11" s="2"/>
      <c r="H11" s="39">
        <f>Balance!C31/Balance!C54</f>
        <v>2.0485641256953842</v>
      </c>
    </row>
    <row r="12" spans="1:8" x14ac:dyDescent="0.25"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EE.RR</vt:lpstr>
      <vt:lpstr>EE.RR Vertical</vt:lpstr>
      <vt:lpstr>EE.RR Horizontal</vt:lpstr>
      <vt:lpstr>Balance</vt:lpstr>
      <vt:lpstr>Balance Vertical</vt:lpstr>
      <vt:lpstr>Balance Horizontal</vt:lpstr>
      <vt:lpstr>Ratios</vt:lpstr>
      <vt:lpstr>Du Pont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Cabrera</dc:creator>
  <cp:lastModifiedBy>Andres Cabrera</cp:lastModifiedBy>
  <dcterms:created xsi:type="dcterms:W3CDTF">2011-08-05T13:36:35Z</dcterms:created>
  <dcterms:modified xsi:type="dcterms:W3CDTF">2024-03-04T17:36:05Z</dcterms:modified>
</cp:coreProperties>
</file>