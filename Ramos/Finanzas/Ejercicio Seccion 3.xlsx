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spr\Documents\"/>
    </mc:Choice>
  </mc:AlternateContent>
  <xr:revisionPtr revIDLastSave="0" documentId="8_{BA906438-CB96-4E15-A6D6-DBFA1B76226D}" xr6:coauthVersionLast="47" xr6:coauthVersionMax="47" xr10:uidLastSave="{00000000-0000-0000-0000-000000000000}"/>
  <bookViews>
    <workbookView xWindow="-120" yWindow="-120" windowWidth="19440" windowHeight="11040" xr2:uid="{2072EC4B-78D9-4E66-8E85-379C472DBE5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I6" i="1"/>
  <c r="H6" i="1" s="1"/>
  <c r="J6" i="1" s="1"/>
  <c r="J5" i="1"/>
  <c r="G5" i="1"/>
  <c r="H5" i="1"/>
  <c r="I5" i="1"/>
  <c r="J4" i="1"/>
  <c r="H4" i="1"/>
  <c r="G4" i="1"/>
  <c r="I4" i="1"/>
  <c r="J3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D4" i="1"/>
  <c r="C8" i="1" s="1"/>
  <c r="G7" i="1" l="1"/>
  <c r="I7" i="1"/>
  <c r="D6" i="1"/>
  <c r="H7" i="1" l="1"/>
  <c r="J7" i="1" s="1"/>
  <c r="I8" i="1"/>
  <c r="G8" i="1" l="1"/>
  <c r="I9" i="1"/>
  <c r="H8" i="1"/>
  <c r="J8" i="1" s="1"/>
  <c r="G9" i="1" l="1"/>
  <c r="H9" i="1"/>
  <c r="J9" i="1" s="1"/>
  <c r="I10" i="1"/>
  <c r="G10" i="1" l="1"/>
  <c r="H10" i="1" s="1"/>
  <c r="J10" i="1" s="1"/>
  <c r="I11" i="1"/>
  <c r="G11" i="1" l="1"/>
  <c r="I12" i="1"/>
  <c r="H11" i="1"/>
  <c r="J11" i="1" s="1"/>
  <c r="G12" i="1" l="1"/>
  <c r="H12" i="1"/>
  <c r="J12" i="1" s="1"/>
  <c r="I13" i="1"/>
  <c r="G13" i="1" l="1"/>
  <c r="H13" i="1" s="1"/>
  <c r="J13" i="1" s="1"/>
  <c r="I14" i="1"/>
  <c r="G14" i="1" l="1"/>
  <c r="I15" i="1"/>
  <c r="H14" i="1"/>
  <c r="J14" i="1" s="1"/>
  <c r="G15" i="1" l="1"/>
  <c r="H15" i="1"/>
  <c r="J15" i="1" s="1"/>
  <c r="I16" i="1"/>
  <c r="G16" i="1" l="1"/>
  <c r="H16" i="1"/>
  <c r="J16" i="1" s="1"/>
  <c r="I17" i="1"/>
  <c r="G17" i="1" l="1"/>
  <c r="I18" i="1"/>
  <c r="H17" i="1"/>
  <c r="J17" i="1" s="1"/>
  <c r="G18" i="1" l="1"/>
  <c r="H18" i="1" s="1"/>
  <c r="J18" i="1" s="1"/>
  <c r="I19" i="1"/>
  <c r="G19" i="1" l="1"/>
  <c r="I20" i="1"/>
  <c r="H19" i="1"/>
  <c r="J19" i="1" s="1"/>
  <c r="G20" i="1" l="1"/>
  <c r="I21" i="1"/>
  <c r="H20" i="1"/>
  <c r="J20" i="1" s="1"/>
  <c r="G21" i="1" l="1"/>
  <c r="H21" i="1"/>
  <c r="J21" i="1" s="1"/>
  <c r="I22" i="1"/>
  <c r="G22" i="1" l="1"/>
  <c r="H22" i="1"/>
  <c r="J22" i="1" s="1"/>
  <c r="I23" i="1"/>
  <c r="G23" i="1" l="1"/>
  <c r="I24" i="1"/>
  <c r="H23" i="1"/>
  <c r="J23" i="1" s="1"/>
  <c r="G24" i="1" l="1"/>
  <c r="H24" i="1" s="1"/>
  <c r="J24" i="1" s="1"/>
  <c r="I25" i="1"/>
  <c r="G25" i="1" l="1"/>
  <c r="H25" i="1" s="1"/>
  <c r="J25" i="1" s="1"/>
  <c r="I26" i="1"/>
  <c r="G26" i="1" l="1"/>
  <c r="H26" i="1" s="1"/>
  <c r="J26" i="1" s="1"/>
  <c r="I27" i="1"/>
  <c r="G27" i="1" l="1"/>
  <c r="H27" i="1"/>
  <c r="J27" i="1" s="1"/>
  <c r="I28" i="1"/>
  <c r="G28" i="1" l="1"/>
  <c r="H28" i="1" s="1"/>
  <c r="J28" i="1" s="1"/>
  <c r="I29" i="1"/>
  <c r="G29" i="1" l="1"/>
  <c r="I30" i="1"/>
  <c r="H29" i="1"/>
  <c r="J29" i="1" s="1"/>
  <c r="G30" i="1" l="1"/>
  <c r="H30" i="1" s="1"/>
  <c r="J30" i="1" s="1"/>
  <c r="I31" i="1"/>
  <c r="J31" i="1" l="1"/>
  <c r="G31" i="1"/>
  <c r="I32" i="1"/>
  <c r="H31" i="1"/>
  <c r="I33" i="1" l="1"/>
  <c r="G32" i="1"/>
  <c r="H32" i="1" s="1"/>
  <c r="J32" i="1" s="1"/>
  <c r="G33" i="1" l="1"/>
  <c r="H33" i="1" s="1"/>
  <c r="J33" i="1" s="1"/>
  <c r="I34" i="1"/>
  <c r="G34" i="1" l="1"/>
  <c r="H34" i="1" s="1"/>
  <c r="J34" i="1" s="1"/>
  <c r="I35" i="1"/>
  <c r="G35" i="1" l="1"/>
  <c r="I36" i="1"/>
  <c r="H35" i="1"/>
  <c r="J35" i="1" s="1"/>
  <c r="G36" i="1" l="1"/>
  <c r="H36" i="1" s="1"/>
  <c r="J36" i="1" s="1"/>
  <c r="I37" i="1"/>
  <c r="G37" i="1" l="1"/>
  <c r="I38" i="1"/>
  <c r="H37" i="1"/>
  <c r="J37" i="1" s="1"/>
  <c r="G38" i="1" l="1"/>
  <c r="I39" i="1"/>
  <c r="H38" i="1"/>
  <c r="J38" i="1" s="1"/>
  <c r="G39" i="1" l="1"/>
  <c r="H39" i="1" s="1"/>
  <c r="J39" i="1" s="1"/>
  <c r="I40" i="1"/>
  <c r="G40" i="1" l="1"/>
  <c r="H40" i="1"/>
  <c r="J40" i="1" s="1"/>
  <c r="I41" i="1"/>
  <c r="G41" i="1" l="1"/>
  <c r="I42" i="1"/>
  <c r="H41" i="1"/>
  <c r="J41" i="1" s="1"/>
  <c r="G42" i="1" l="1"/>
  <c r="H42" i="1"/>
  <c r="J42" i="1" s="1"/>
  <c r="I43" i="1"/>
  <c r="G43" i="1" l="1"/>
  <c r="H43" i="1" s="1"/>
  <c r="J43" i="1" s="1"/>
  <c r="I44" i="1"/>
  <c r="G44" i="1" l="1"/>
  <c r="I45" i="1"/>
  <c r="H44" i="1"/>
  <c r="J44" i="1" s="1"/>
  <c r="G45" i="1" l="1"/>
  <c r="H45" i="1"/>
  <c r="J45" i="1" s="1"/>
  <c r="I46" i="1"/>
  <c r="G46" i="1" l="1"/>
  <c r="I47" i="1"/>
  <c r="H46" i="1"/>
  <c r="J46" i="1" s="1"/>
  <c r="G47" i="1" l="1"/>
  <c r="H47" i="1" s="1"/>
  <c r="J47" i="1" s="1"/>
  <c r="I48" i="1"/>
  <c r="G48" i="1" l="1"/>
  <c r="H48" i="1"/>
  <c r="J48" i="1" s="1"/>
  <c r="I49" i="1"/>
  <c r="G49" i="1" l="1"/>
  <c r="H49" i="1"/>
  <c r="J49" i="1" s="1"/>
  <c r="I50" i="1"/>
  <c r="G50" i="1" l="1"/>
  <c r="I51" i="1"/>
  <c r="H50" i="1"/>
  <c r="J50" i="1" s="1"/>
  <c r="G51" i="1" l="1"/>
  <c r="H51" i="1"/>
  <c r="J51" i="1" s="1"/>
  <c r="I52" i="1"/>
  <c r="G52" i="1" l="1"/>
  <c r="H52" i="1"/>
  <c r="J52" i="1" s="1"/>
  <c r="I53" i="1"/>
  <c r="G53" i="1" l="1"/>
  <c r="I54" i="1"/>
  <c r="H53" i="1"/>
  <c r="J53" i="1" s="1"/>
  <c r="G54" i="1" l="1"/>
  <c r="H54" i="1"/>
  <c r="J54" i="1" s="1"/>
  <c r="I55" i="1"/>
  <c r="G55" i="1" l="1"/>
  <c r="I56" i="1"/>
  <c r="H55" i="1"/>
  <c r="J55" i="1" s="1"/>
  <c r="G56" i="1" l="1"/>
  <c r="I57" i="1"/>
  <c r="H56" i="1"/>
  <c r="J56" i="1" s="1"/>
  <c r="G57" i="1" l="1"/>
  <c r="H57" i="1"/>
  <c r="J57" i="1" s="1"/>
  <c r="I58" i="1"/>
  <c r="G58" i="1" l="1"/>
  <c r="I59" i="1"/>
  <c r="H58" i="1"/>
  <c r="J58" i="1" s="1"/>
  <c r="G59" i="1" l="1"/>
  <c r="I60" i="1"/>
  <c r="H59" i="1"/>
  <c r="J59" i="1" s="1"/>
  <c r="G60" i="1" l="1"/>
  <c r="H60" i="1"/>
  <c r="J60" i="1" s="1"/>
  <c r="I61" i="1"/>
  <c r="G61" i="1" l="1"/>
  <c r="I62" i="1"/>
  <c r="H61" i="1"/>
  <c r="J61" i="1" s="1"/>
  <c r="G62" i="1" l="1"/>
  <c r="I63" i="1"/>
  <c r="H62" i="1"/>
  <c r="J62" i="1" s="1"/>
  <c r="G63" i="1" l="1"/>
  <c r="H63" i="1"/>
  <c r="J63" i="1" s="1"/>
</calcChain>
</file>

<file path=xl/sharedStrings.xml><?xml version="1.0" encoding="utf-8"?>
<sst xmlns="http://schemas.openxmlformats.org/spreadsheetml/2006/main" count="10" uniqueCount="10">
  <si>
    <t>VP</t>
  </si>
  <si>
    <t>n</t>
  </si>
  <si>
    <t>i</t>
  </si>
  <si>
    <t xml:space="preserve">A </t>
  </si>
  <si>
    <t>Periodo</t>
  </si>
  <si>
    <t>Intereses</t>
  </si>
  <si>
    <t>Amortizacion</t>
  </si>
  <si>
    <t xml:space="preserve">Cuota </t>
  </si>
  <si>
    <t xml:space="preserve">Capital </t>
  </si>
  <si>
    <t>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</si>
</sst>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&quot;$&quot;\-#,##0.00"/>
    <numFmt numFmtId="42" formatCode="_ &quot;$&quot;* #,##0_ ;_ &quot;$&quot;* \-#,##0_ ;_ &quot;$&quot;* &quot;-&quot;_ ;_ @_ "/>
    <numFmt numFmtId="166" formatCode="0.0000%"/>
    <numFmt numFmtId="169" formatCode="_ &quot;$&quot;* #,##0.00_ ;_ &quot;$&quot;* \-#,##0.00_ ;_ &quot;$&quot;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6" fontId="0" fillId="0" borderId="0" xfId="2" applyNumberFormat="1" applyFont="1"/>
    <xf numFmtId="42" fontId="0" fillId="0" borderId="0" xfId="1" applyFont="1"/>
    <xf numFmtId="169" fontId="0" fillId="0" borderId="0" xfId="1" applyNumberFormat="1" applyFont="1"/>
    <xf numFmtId="8" fontId="0" fillId="0" borderId="0" xfId="0" applyNumberFormat="1"/>
    <xf numFmtId="0" fontId="0" fillId="0" borderId="0" xfId="0" applyAlignment="1">
      <alignment horizontal="center"/>
    </xf>
    <xf numFmtId="42" fontId="0" fillId="0" borderId="0" xfId="1" applyFont="1" applyAlignment="1">
      <alignment horizontal="center"/>
    </xf>
    <xf numFmtId="169" fontId="0" fillId="0" borderId="0" xfId="1" applyNumberFormat="1" applyFont="1" applyAlignment="1">
      <alignment horizontal="center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854F-C717-4B50-8EF4-29A94DF19C25}">
  <dimension ref="C2:J63"/>
  <sheetViews>
    <sheetView tabSelected="1" zoomScale="110" zoomScaleNormal="110" workbookViewId="0">
      <pane xSplit="6" ySplit="3" topLeftCell="G31" activePane="bottomRight" state="frozen"/>
      <selection pane="topRight" activeCell="G1" sqref="G1"/>
      <selection pane="bottomLeft" activeCell="A4" sqref="A4"/>
      <selection pane="bottomRight" activeCell="J63" sqref="J63"/>
    </sheetView>
  </sheetViews>
  <sheetFormatPr baseColWidth="10" defaultRowHeight="15" x14ac:dyDescent="0.25"/>
  <cols>
    <col min="1" max="1" width="5.42578125" customWidth="1"/>
    <col min="2" max="2" width="3" customWidth="1"/>
    <col min="5" max="5" width="4" customWidth="1"/>
    <col min="6" max="6" width="11.42578125" style="5"/>
    <col min="7" max="8" width="11.42578125" style="2"/>
    <col min="9" max="9" width="11.42578125" style="3"/>
    <col min="10" max="10" width="11.42578125" style="2"/>
  </cols>
  <sheetData>
    <row r="2" spans="3:10" x14ac:dyDescent="0.25">
      <c r="C2" t="s">
        <v>0</v>
      </c>
      <c r="D2">
        <v>8100</v>
      </c>
      <c r="F2" s="5" t="s">
        <v>4</v>
      </c>
      <c r="G2" s="6" t="s">
        <v>5</v>
      </c>
      <c r="H2" s="6" t="s">
        <v>6</v>
      </c>
      <c r="I2" s="7" t="s">
        <v>7</v>
      </c>
      <c r="J2" s="6" t="s">
        <v>8</v>
      </c>
    </row>
    <row r="3" spans="3:10" x14ac:dyDescent="0.25">
      <c r="C3" t="s">
        <v>1</v>
      </c>
      <c r="D3">
        <v>60</v>
      </c>
      <c r="F3" s="5" t="s">
        <v>9</v>
      </c>
      <c r="J3" s="2">
        <f>+D2</f>
        <v>8100</v>
      </c>
    </row>
    <row r="4" spans="3:10" x14ac:dyDescent="0.25">
      <c r="C4" t="s">
        <v>2</v>
      </c>
      <c r="D4" s="1">
        <f>((1.12)^(1/3))-1</f>
        <v>3.8498820370220788E-2</v>
      </c>
      <c r="F4" s="5">
        <v>1</v>
      </c>
      <c r="G4" s="3">
        <f>+J3*$D$4</f>
        <v>311.84044499878837</v>
      </c>
      <c r="H4" s="3">
        <f>+I4-G4</f>
        <v>36.066374530067321</v>
      </c>
      <c r="I4" s="3">
        <f>+D6</f>
        <v>347.90681952885569</v>
      </c>
      <c r="J4" s="2">
        <f>+J3-H4</f>
        <v>8063.9336254699328</v>
      </c>
    </row>
    <row r="5" spans="3:10" x14ac:dyDescent="0.25">
      <c r="F5" s="5">
        <f>+F4+1</f>
        <v>2</v>
      </c>
      <c r="G5" s="3">
        <f>+J4*$D$4</f>
        <v>310.45193212435021</v>
      </c>
      <c r="H5" s="3">
        <f>+I5-G5</f>
        <v>37.454887404505484</v>
      </c>
      <c r="I5" s="3">
        <f>+I4</f>
        <v>347.90681952885569</v>
      </c>
      <c r="J5" s="2">
        <f>+J4-H5</f>
        <v>8026.478738065427</v>
      </c>
    </row>
    <row r="6" spans="3:10" x14ac:dyDescent="0.25">
      <c r="C6" t="s">
        <v>3</v>
      </c>
      <c r="D6" s="3">
        <f>(D2*D4)/(1-(1/(1+D4)^D3))</f>
        <v>347.90681952885569</v>
      </c>
      <c r="F6" s="5">
        <f t="shared" ref="F6:F63" si="0">+F5+1</f>
        <v>3</v>
      </c>
      <c r="G6" s="3">
        <f t="shared" ref="G6:G63" si="1">+J5*$D$4</f>
        <v>309.0099631421773</v>
      </c>
      <c r="H6" s="3">
        <f t="shared" ref="H6:H63" si="2">+I6-G6</f>
        <v>38.896856386678394</v>
      </c>
      <c r="I6" s="3">
        <f t="shared" ref="I6:I63" si="3">+I5</f>
        <v>347.90681952885569</v>
      </c>
      <c r="J6" s="2">
        <f t="shared" ref="J6:J63" si="4">+J5-H6</f>
        <v>7987.5818816787487</v>
      </c>
    </row>
    <row r="7" spans="3:10" x14ac:dyDescent="0.25">
      <c r="F7" s="5">
        <f t="shared" si="0"/>
        <v>4</v>
      </c>
      <c r="G7" s="3">
        <f t="shared" si="1"/>
        <v>307.51248005518028</v>
      </c>
      <c r="H7" s="3">
        <f t="shared" si="2"/>
        <v>40.394339473675416</v>
      </c>
      <c r="I7" s="3">
        <f t="shared" si="3"/>
        <v>347.90681952885569</v>
      </c>
      <c r="J7" s="2">
        <f t="shared" si="4"/>
        <v>7947.1875422050734</v>
      </c>
    </row>
    <row r="8" spans="3:10" x14ac:dyDescent="0.25">
      <c r="C8" s="4">
        <f>PMT(D4,D3,D2)</f>
        <v>-347.90681952885575</v>
      </c>
      <c r="F8" s="5">
        <f t="shared" si="0"/>
        <v>5</v>
      </c>
      <c r="G8" s="3">
        <f t="shared" si="1"/>
        <v>305.95734563580953</v>
      </c>
      <c r="H8" s="3">
        <f t="shared" si="2"/>
        <v>41.949473893046161</v>
      </c>
      <c r="I8" s="3">
        <f t="shared" si="3"/>
        <v>347.90681952885569</v>
      </c>
      <c r="J8" s="2">
        <f t="shared" si="4"/>
        <v>7905.2380683120273</v>
      </c>
    </row>
    <row r="9" spans="3:10" x14ac:dyDescent="0.25">
      <c r="F9" s="5">
        <f t="shared" si="0"/>
        <v>6</v>
      </c>
      <c r="G9" s="3">
        <f t="shared" si="1"/>
        <v>304.3423403757759</v>
      </c>
      <c r="H9" s="3">
        <f t="shared" si="2"/>
        <v>43.564479153079787</v>
      </c>
      <c r="I9" s="3">
        <f t="shared" si="3"/>
        <v>347.90681952885569</v>
      </c>
      <c r="J9" s="2">
        <f t="shared" si="4"/>
        <v>7861.6735891589478</v>
      </c>
    </row>
    <row r="10" spans="3:10" x14ac:dyDescent="0.25">
      <c r="F10" s="5">
        <f t="shared" si="0"/>
        <v>7</v>
      </c>
      <c r="G10" s="3">
        <f t="shared" si="1"/>
        <v>302.66515931833925</v>
      </c>
      <c r="H10" s="3">
        <f t="shared" si="2"/>
        <v>45.241660210516443</v>
      </c>
      <c r="I10" s="3">
        <f t="shared" si="3"/>
        <v>347.90681952885569</v>
      </c>
      <c r="J10" s="2">
        <f t="shared" si="4"/>
        <v>7816.4319289484311</v>
      </c>
    </row>
    <row r="11" spans="3:10" x14ac:dyDescent="0.25">
      <c r="F11" s="5">
        <f t="shared" si="0"/>
        <v>8</v>
      </c>
      <c r="G11" s="3">
        <f t="shared" si="1"/>
        <v>300.92340876864404</v>
      </c>
      <c r="H11" s="3">
        <f t="shared" si="2"/>
        <v>46.983410760211655</v>
      </c>
      <c r="I11" s="3">
        <f t="shared" si="3"/>
        <v>347.90681952885569</v>
      </c>
      <c r="J11" s="2">
        <f t="shared" si="4"/>
        <v>7769.4485181882192</v>
      </c>
    </row>
    <row r="12" spans="3:10" x14ac:dyDescent="0.25">
      <c r="F12" s="5">
        <f t="shared" si="0"/>
        <v>9</v>
      </c>
      <c r="G12" s="3">
        <f t="shared" si="1"/>
        <v>299.1146028774063</v>
      </c>
      <c r="H12" s="3">
        <f t="shared" si="2"/>
        <v>48.792216651449394</v>
      </c>
      <c r="I12" s="3">
        <f t="shared" si="3"/>
        <v>347.90681952885569</v>
      </c>
      <c r="J12" s="2">
        <f t="shared" si="4"/>
        <v>7720.6563015367701</v>
      </c>
    </row>
    <row r="13" spans="3:10" x14ac:dyDescent="0.25">
      <c r="F13" s="5">
        <f t="shared" si="0"/>
        <v>10</v>
      </c>
      <c r="G13" s="3">
        <f t="shared" si="1"/>
        <v>297.23616009307727</v>
      </c>
      <c r="H13" s="3">
        <f t="shared" si="2"/>
        <v>50.670659435778418</v>
      </c>
      <c r="I13" s="3">
        <f t="shared" si="3"/>
        <v>347.90681952885569</v>
      </c>
      <c r="J13" s="2">
        <f t="shared" si="4"/>
        <v>7669.9856421009918</v>
      </c>
    </row>
    <row r="14" spans="3:10" x14ac:dyDescent="0.25">
      <c r="F14" s="5">
        <f t="shared" si="0"/>
        <v>11</v>
      </c>
      <c r="G14" s="3">
        <f t="shared" si="1"/>
        <v>295.28539947741865</v>
      </c>
      <c r="H14" s="3">
        <f t="shared" si="2"/>
        <v>52.621420051437042</v>
      </c>
      <c r="I14" s="3">
        <f t="shared" si="3"/>
        <v>347.90681952885569</v>
      </c>
      <c r="J14" s="2">
        <f t="shared" si="4"/>
        <v>7617.3642220495549</v>
      </c>
    </row>
    <row r="15" spans="3:10" x14ac:dyDescent="0.25">
      <c r="F15" s="5">
        <f t="shared" si="0"/>
        <v>12</v>
      </c>
      <c r="G15" s="3">
        <f t="shared" si="1"/>
        <v>293.25953687923243</v>
      </c>
      <c r="H15" s="3">
        <f t="shared" si="2"/>
        <v>54.647282649623264</v>
      </c>
      <c r="I15" s="3">
        <f t="shared" si="3"/>
        <v>347.90681952885569</v>
      </c>
      <c r="J15" s="2">
        <f t="shared" si="4"/>
        <v>7562.716939399932</v>
      </c>
    </row>
    <row r="16" spans="3:10" x14ac:dyDescent="0.25">
      <c r="F16" s="5">
        <f t="shared" si="0"/>
        <v>13</v>
      </c>
      <c r="G16" s="3">
        <f t="shared" si="1"/>
        <v>291.15568096078391</v>
      </c>
      <c r="H16" s="3">
        <f t="shared" si="2"/>
        <v>56.751138568071781</v>
      </c>
      <c r="I16" s="3">
        <f t="shared" si="3"/>
        <v>347.90681952885569</v>
      </c>
      <c r="J16" s="2">
        <f t="shared" si="4"/>
        <v>7505.9658008318602</v>
      </c>
    </row>
    <row r="17" spans="6:10" x14ac:dyDescent="0.25">
      <c r="F17" s="5">
        <f t="shared" si="0"/>
        <v>14</v>
      </c>
      <c r="G17" s="3">
        <f t="shared" si="1"/>
        <v>288.97082907124621</v>
      </c>
      <c r="H17" s="3">
        <f t="shared" si="2"/>
        <v>58.935990457609478</v>
      </c>
      <c r="I17" s="3">
        <f t="shared" si="3"/>
        <v>347.90681952885569</v>
      </c>
      <c r="J17" s="2">
        <f t="shared" si="4"/>
        <v>7447.0298103742507</v>
      </c>
    </row>
    <row r="18" spans="6:10" x14ac:dyDescent="0.25">
      <c r="F18" s="5">
        <f t="shared" si="0"/>
        <v>15</v>
      </c>
      <c r="G18" s="3">
        <f t="shared" si="1"/>
        <v>286.70186296127764</v>
      </c>
      <c r="H18" s="3">
        <f t="shared" si="2"/>
        <v>61.204956567578051</v>
      </c>
      <c r="I18" s="3">
        <f t="shared" si="3"/>
        <v>347.90681952885569</v>
      </c>
      <c r="J18" s="2">
        <f t="shared" si="4"/>
        <v>7385.8248538066728</v>
      </c>
    </row>
    <row r="19" spans="6:10" x14ac:dyDescent="0.25">
      <c r="F19" s="5">
        <f t="shared" si="0"/>
        <v>16</v>
      </c>
      <c r="G19" s="3">
        <f t="shared" si="1"/>
        <v>284.3455443326153</v>
      </c>
      <c r="H19" s="3">
        <f t="shared" si="2"/>
        <v>63.561275196240388</v>
      </c>
      <c r="I19" s="3">
        <f t="shared" si="3"/>
        <v>347.90681952885569</v>
      </c>
      <c r="J19" s="2">
        <f t="shared" si="4"/>
        <v>7322.263578610432</v>
      </c>
    </row>
    <row r="20" spans="6:10" x14ac:dyDescent="0.25">
      <c r="F20" s="5">
        <f t="shared" si="0"/>
        <v>17</v>
      </c>
      <c r="G20" s="3">
        <f t="shared" si="1"/>
        <v>281.89851021633308</v>
      </c>
      <c r="H20" s="3">
        <f t="shared" si="2"/>
        <v>66.008309312522613</v>
      </c>
      <c r="I20" s="3">
        <f t="shared" si="3"/>
        <v>347.90681952885569</v>
      </c>
      <c r="J20" s="2">
        <f t="shared" si="4"/>
        <v>7256.2552692979098</v>
      </c>
    </row>
    <row r="21" spans="6:10" x14ac:dyDescent="0.25">
      <c r="F21" s="5">
        <f t="shared" si="0"/>
        <v>18</v>
      </c>
      <c r="G21" s="3">
        <f t="shared" si="1"/>
        <v>279.35726817316828</v>
      </c>
      <c r="H21" s="3">
        <f t="shared" si="2"/>
        <v>68.549551355687413</v>
      </c>
      <c r="I21" s="3">
        <f t="shared" si="3"/>
        <v>347.90681952885569</v>
      </c>
      <c r="J21" s="2">
        <f t="shared" si="4"/>
        <v>7187.7057179422227</v>
      </c>
    </row>
    <row r="22" spans="6:10" x14ac:dyDescent="0.25">
      <c r="F22" s="5">
        <f t="shared" si="0"/>
        <v>19</v>
      </c>
      <c r="G22" s="3">
        <f t="shared" si="1"/>
        <v>276.71819130906647</v>
      </c>
      <c r="H22" s="3">
        <f t="shared" si="2"/>
        <v>71.188628219789223</v>
      </c>
      <c r="I22" s="3">
        <f t="shared" si="3"/>
        <v>347.90681952885569</v>
      </c>
      <c r="J22" s="2">
        <f t="shared" si="4"/>
        <v>7116.5170897224334</v>
      </c>
    </row>
    <row r="23" spans="6:10" x14ac:dyDescent="0.25">
      <c r="F23" s="5">
        <f t="shared" si="0"/>
        <v>20</v>
      </c>
      <c r="G23" s="3">
        <f t="shared" si="1"/>
        <v>273.9775130988304</v>
      </c>
      <c r="H23" s="3">
        <f t="shared" si="2"/>
        <v>73.929306430025292</v>
      </c>
      <c r="I23" s="3">
        <f t="shared" si="3"/>
        <v>347.90681952885569</v>
      </c>
      <c r="J23" s="2">
        <f t="shared" si="4"/>
        <v>7042.5877832924079</v>
      </c>
    </row>
    <row r="24" spans="6:10" x14ac:dyDescent="0.25">
      <c r="F24" s="5">
        <f t="shared" si="0"/>
        <v>21</v>
      </c>
      <c r="G24" s="3">
        <f t="shared" si="1"/>
        <v>271.1313220104858</v>
      </c>
      <c r="H24" s="3">
        <f t="shared" si="2"/>
        <v>76.775497518369889</v>
      </c>
      <c r="I24" s="3">
        <f t="shared" si="3"/>
        <v>347.90681952885569</v>
      </c>
      <c r="J24" s="2">
        <f t="shared" si="4"/>
        <v>6965.8122857740382</v>
      </c>
    </row>
    <row r="25" spans="6:10" x14ac:dyDescent="0.25">
      <c r="F25" s="5">
        <f t="shared" si="0"/>
        <v>22</v>
      </c>
      <c r="G25" s="3">
        <f t="shared" si="1"/>
        <v>268.17555592269179</v>
      </c>
      <c r="H25" s="3">
        <f t="shared" si="2"/>
        <v>79.731263606163907</v>
      </c>
      <c r="I25" s="3">
        <f t="shared" si="3"/>
        <v>347.90681952885569</v>
      </c>
      <c r="J25" s="2">
        <f t="shared" si="4"/>
        <v>6886.0810221678739</v>
      </c>
    </row>
    <row r="26" spans="6:10" x14ac:dyDescent="0.25">
      <c r="F26" s="5">
        <f t="shared" si="0"/>
        <v>23</v>
      </c>
      <c r="G26" s="3">
        <f t="shared" si="1"/>
        <v>265.10599632722733</v>
      </c>
      <c r="H26" s="3">
        <f t="shared" si="2"/>
        <v>82.800823201628361</v>
      </c>
      <c r="I26" s="3">
        <f t="shared" si="3"/>
        <v>347.90681952885569</v>
      </c>
      <c r="J26" s="2">
        <f t="shared" si="4"/>
        <v>6803.2801989662457</v>
      </c>
    </row>
    <row r="27" spans="6:10" x14ac:dyDescent="0.25">
      <c r="F27" s="5">
        <f t="shared" si="0"/>
        <v>24</v>
      </c>
      <c r="G27" s="3">
        <f t="shared" si="1"/>
        <v>261.91826230828144</v>
      </c>
      <c r="H27" s="3">
        <f t="shared" si="2"/>
        <v>85.988557220574251</v>
      </c>
      <c r="I27" s="3">
        <f t="shared" si="3"/>
        <v>347.90681952885569</v>
      </c>
      <c r="J27" s="2">
        <f t="shared" si="4"/>
        <v>6717.2916417456718</v>
      </c>
    </row>
    <row r="28" spans="6:10" x14ac:dyDescent="0.25">
      <c r="F28" s="5">
        <f t="shared" si="0"/>
        <v>25</v>
      </c>
      <c r="G28" s="3">
        <f t="shared" si="1"/>
        <v>258.60780428995213</v>
      </c>
      <c r="H28" s="3">
        <f t="shared" si="2"/>
        <v>89.299015238903564</v>
      </c>
      <c r="I28" s="3">
        <f t="shared" si="3"/>
        <v>347.90681952885569</v>
      </c>
      <c r="J28" s="2">
        <f t="shared" si="4"/>
        <v>6627.9926265067679</v>
      </c>
    </row>
    <row r="29" spans="6:10" x14ac:dyDescent="0.25">
      <c r="F29" s="5">
        <f t="shared" si="0"/>
        <v>26</v>
      </c>
      <c r="G29" s="3">
        <f t="shared" si="1"/>
        <v>255.16989754303194</v>
      </c>
      <c r="H29" s="3">
        <f t="shared" si="2"/>
        <v>92.736921985823756</v>
      </c>
      <c r="I29" s="3">
        <f t="shared" si="3"/>
        <v>347.90681952885569</v>
      </c>
      <c r="J29" s="2">
        <f t="shared" si="4"/>
        <v>6535.2557045209442</v>
      </c>
    </row>
    <row r="30" spans="6:10" x14ac:dyDescent="0.25">
      <c r="F30" s="5">
        <f t="shared" si="0"/>
        <v>27</v>
      </c>
      <c r="G30" s="3">
        <f t="shared" si="1"/>
        <v>251.59963544181252</v>
      </c>
      <c r="H30" s="3">
        <f t="shared" si="2"/>
        <v>96.307184087043169</v>
      </c>
      <c r="I30" s="3">
        <f t="shared" si="3"/>
        <v>347.90681952885569</v>
      </c>
      <c r="J30" s="2">
        <f t="shared" si="4"/>
        <v>6438.9485204339007</v>
      </c>
    </row>
    <row r="31" spans="6:10" x14ac:dyDescent="0.25">
      <c r="F31" s="5">
        <f t="shared" si="0"/>
        <v>28</v>
      </c>
      <c r="G31" s="3">
        <f t="shared" si="1"/>
        <v>247.89192246128366</v>
      </c>
      <c r="H31" s="3">
        <f t="shared" si="2"/>
        <v>100.01489706757204</v>
      </c>
      <c r="I31" s="3">
        <f t="shared" si="3"/>
        <v>347.90681952885569</v>
      </c>
      <c r="J31" s="2">
        <f t="shared" si="4"/>
        <v>6338.9336233663289</v>
      </c>
    </row>
    <row r="32" spans="6:10" x14ac:dyDescent="0.25">
      <c r="F32" s="5">
        <f t="shared" si="0"/>
        <v>29</v>
      </c>
      <c r="G32" s="3">
        <f t="shared" si="1"/>
        <v>244.04146690473308</v>
      </c>
      <c r="H32" s="3">
        <f t="shared" si="2"/>
        <v>103.86535262412261</v>
      </c>
      <c r="I32" s="3">
        <f t="shared" si="3"/>
        <v>347.90681952885569</v>
      </c>
      <c r="J32" s="2">
        <f t="shared" si="4"/>
        <v>6235.0682707422066</v>
      </c>
    </row>
    <row r="33" spans="6:10" x14ac:dyDescent="0.25">
      <c r="F33" s="5">
        <f t="shared" si="0"/>
        <v>30</v>
      </c>
      <c r="G33" s="3">
        <f t="shared" si="1"/>
        <v>240.04277335136737</v>
      </c>
      <c r="H33" s="3">
        <f t="shared" si="2"/>
        <v>107.86404617748832</v>
      </c>
      <c r="I33" s="3">
        <f t="shared" si="3"/>
        <v>347.90681952885569</v>
      </c>
      <c r="J33" s="2">
        <f t="shared" si="4"/>
        <v>6127.2042245647181</v>
      </c>
    </row>
    <row r="34" spans="6:10" x14ac:dyDescent="0.25">
      <c r="F34" s="5">
        <f t="shared" si="0"/>
        <v>31</v>
      </c>
      <c r="G34" s="3">
        <f t="shared" si="1"/>
        <v>235.89013481317502</v>
      </c>
      <c r="H34" s="3">
        <f t="shared" si="2"/>
        <v>112.01668471568067</v>
      </c>
      <c r="I34" s="3">
        <f t="shared" si="3"/>
        <v>347.90681952885569</v>
      </c>
      <c r="J34" s="2">
        <f t="shared" si="4"/>
        <v>6015.1875398490374</v>
      </c>
    </row>
    <row r="35" spans="6:10" x14ac:dyDescent="0.25">
      <c r="F35" s="5">
        <f t="shared" si="0"/>
        <v>32</v>
      </c>
      <c r="G35" s="3">
        <f t="shared" si="1"/>
        <v>231.57762458983839</v>
      </c>
      <c r="H35" s="3">
        <f t="shared" si="2"/>
        <v>116.3291949390173</v>
      </c>
      <c r="I35" s="3">
        <f t="shared" si="3"/>
        <v>347.90681952885569</v>
      </c>
      <c r="J35" s="2">
        <f t="shared" si="4"/>
        <v>5898.8583449100197</v>
      </c>
    </row>
    <row r="36" spans="6:10" x14ac:dyDescent="0.25">
      <c r="F36" s="5">
        <f t="shared" si="0"/>
        <v>33</v>
      </c>
      <c r="G36" s="3">
        <f t="shared" si="1"/>
        <v>227.09908781006874</v>
      </c>
      <c r="H36" s="3">
        <f t="shared" si="2"/>
        <v>120.80773171878695</v>
      </c>
      <c r="I36" s="3">
        <f t="shared" si="3"/>
        <v>347.90681952885569</v>
      </c>
      <c r="J36" s="2">
        <f t="shared" si="4"/>
        <v>5778.0506131912325</v>
      </c>
    </row>
    <row r="37" spans="6:10" x14ac:dyDescent="0.25">
      <c r="F37" s="5">
        <f t="shared" si="0"/>
        <v>34</v>
      </c>
      <c r="G37" s="3">
        <f t="shared" si="1"/>
        <v>222.44813264729333</v>
      </c>
      <c r="H37" s="3">
        <f t="shared" si="2"/>
        <v>125.45868688156236</v>
      </c>
      <c r="I37" s="3">
        <f t="shared" si="3"/>
        <v>347.90681952885569</v>
      </c>
      <c r="J37" s="2">
        <f t="shared" si="4"/>
        <v>5652.5919263096703</v>
      </c>
    </row>
    <row r="38" spans="6:10" x14ac:dyDescent="0.25">
      <c r="F38" s="5">
        <f t="shared" si="0"/>
        <v>35</v>
      </c>
      <c r="G38" s="3">
        <f t="shared" si="1"/>
        <v>217.61812119715628</v>
      </c>
      <c r="H38" s="3">
        <f t="shared" si="2"/>
        <v>130.28869833169941</v>
      </c>
      <c r="I38" s="3">
        <f t="shared" si="3"/>
        <v>347.90681952885569</v>
      </c>
      <c r="J38" s="2">
        <f t="shared" si="4"/>
        <v>5522.3032279779709</v>
      </c>
    </row>
    <row r="39" spans="6:10" x14ac:dyDescent="0.25">
      <c r="F39" s="5">
        <f t="shared" si="0"/>
        <v>36</v>
      </c>
      <c r="G39" s="3">
        <f t="shared" si="1"/>
        <v>212.6021600038143</v>
      </c>
      <c r="H39" s="3">
        <f t="shared" si="2"/>
        <v>135.30465952504139</v>
      </c>
      <c r="I39" s="3">
        <f t="shared" si="3"/>
        <v>347.90681952885569</v>
      </c>
      <c r="J39" s="2">
        <f t="shared" si="4"/>
        <v>5386.9985684529292</v>
      </c>
    </row>
    <row r="40" spans="6:10" x14ac:dyDescent="0.25">
      <c r="F40" s="5">
        <f t="shared" si="0"/>
        <v>37</v>
      </c>
      <c r="G40" s="3">
        <f t="shared" si="1"/>
        <v>207.39309022150584</v>
      </c>
      <c r="H40" s="3">
        <f t="shared" si="2"/>
        <v>140.51372930734985</v>
      </c>
      <c r="I40" s="3">
        <f t="shared" si="3"/>
        <v>347.90681952885569</v>
      </c>
      <c r="J40" s="2">
        <f t="shared" si="4"/>
        <v>5246.4848391455798</v>
      </c>
    </row>
    <row r="41" spans="6:10" x14ac:dyDescent="0.25">
      <c r="F41" s="5">
        <f t="shared" si="0"/>
        <v>38</v>
      </c>
      <c r="G41" s="3">
        <f t="shared" si="1"/>
        <v>201.98347739735237</v>
      </c>
      <c r="H41" s="3">
        <f t="shared" si="2"/>
        <v>145.92334213150332</v>
      </c>
      <c r="I41" s="3">
        <f t="shared" si="3"/>
        <v>347.90681952885569</v>
      </c>
      <c r="J41" s="2">
        <f t="shared" si="4"/>
        <v>5100.5614970140768</v>
      </c>
    </row>
    <row r="42" spans="6:10" x14ac:dyDescent="0.25">
      <c r="F42" s="5">
        <f t="shared" si="0"/>
        <v>39</v>
      </c>
      <c r="G42" s="3">
        <f t="shared" si="1"/>
        <v>196.36560086080937</v>
      </c>
      <c r="H42" s="3">
        <f t="shared" si="2"/>
        <v>151.54121866804633</v>
      </c>
      <c r="I42" s="3">
        <f t="shared" si="3"/>
        <v>347.90681952885569</v>
      </c>
      <c r="J42" s="2">
        <f t="shared" si="4"/>
        <v>4949.0202783460309</v>
      </c>
    </row>
    <row r="43" spans="6:10" x14ac:dyDescent="0.25">
      <c r="F43" s="5">
        <f t="shared" si="0"/>
        <v>40</v>
      </c>
      <c r="G43" s="3">
        <f t="shared" si="1"/>
        <v>190.53144270462391</v>
      </c>
      <c r="H43" s="3">
        <f t="shared" si="2"/>
        <v>157.37537682423178</v>
      </c>
      <c r="I43" s="3">
        <f t="shared" si="3"/>
        <v>347.90681952885569</v>
      </c>
      <c r="J43" s="2">
        <f t="shared" si="4"/>
        <v>4791.6449015217995</v>
      </c>
    </row>
    <row r="44" spans="6:10" x14ac:dyDescent="0.25">
      <c r="F44" s="5">
        <f t="shared" si="0"/>
        <v>41</v>
      </c>
      <c r="G44" s="3">
        <f t="shared" si="1"/>
        <v>184.47267634157203</v>
      </c>
      <c r="H44" s="3">
        <f t="shared" si="2"/>
        <v>163.43414318728367</v>
      </c>
      <c r="I44" s="3">
        <f t="shared" si="3"/>
        <v>347.90681952885569</v>
      </c>
      <c r="J44" s="2">
        <f t="shared" si="4"/>
        <v>4628.210758334516</v>
      </c>
    </row>
    <row r="45" spans="6:10" x14ac:dyDescent="0.25">
      <c r="F45" s="5">
        <f t="shared" si="0"/>
        <v>42</v>
      </c>
      <c r="G45" s="3">
        <f t="shared" si="1"/>
        <v>178.18065462064385</v>
      </c>
      <c r="H45" s="3">
        <f t="shared" si="2"/>
        <v>169.72616490821184</v>
      </c>
      <c r="I45" s="3">
        <f t="shared" si="3"/>
        <v>347.90681952885569</v>
      </c>
      <c r="J45" s="2">
        <f t="shared" si="4"/>
        <v>4458.4845934263039</v>
      </c>
    </row>
    <row r="46" spans="6:10" x14ac:dyDescent="0.25">
      <c r="F46" s="5">
        <f t="shared" si="0"/>
        <v>43</v>
      </c>
      <c r="G46" s="3">
        <f t="shared" si="1"/>
        <v>171.64639748571614</v>
      </c>
      <c r="H46" s="3">
        <f t="shared" si="2"/>
        <v>176.26042204313956</v>
      </c>
      <c r="I46" s="3">
        <f t="shared" si="3"/>
        <v>347.90681952885569</v>
      </c>
      <c r="J46" s="2">
        <f t="shared" si="4"/>
        <v>4282.2241713831645</v>
      </c>
    </row>
    <row r="47" spans="6:10" x14ac:dyDescent="0.25">
      <c r="F47" s="5">
        <f t="shared" si="0"/>
        <v>44</v>
      </c>
      <c r="G47" s="3">
        <f t="shared" si="1"/>
        <v>164.86057915909799</v>
      </c>
      <c r="H47" s="3">
        <f t="shared" si="2"/>
        <v>183.0462403697577</v>
      </c>
      <c r="I47" s="3">
        <f t="shared" si="3"/>
        <v>347.90681952885569</v>
      </c>
      <c r="J47" s="2">
        <f t="shared" si="4"/>
        <v>4099.177931013407</v>
      </c>
    </row>
    <row r="48" spans="6:10" x14ac:dyDescent="0.25">
      <c r="F48" s="5">
        <f t="shared" si="0"/>
        <v>45</v>
      </c>
      <c r="G48" s="3">
        <f t="shared" si="1"/>
        <v>157.81351483165847</v>
      </c>
      <c r="H48" s="3">
        <f t="shared" si="2"/>
        <v>190.09330469719723</v>
      </c>
      <c r="I48" s="3">
        <f t="shared" si="3"/>
        <v>347.90681952885569</v>
      </c>
      <c r="J48" s="2">
        <f t="shared" si="4"/>
        <v>3909.0846263162098</v>
      </c>
    </row>
    <row r="49" spans="6:10" x14ac:dyDescent="0.25">
      <c r="F49" s="5">
        <f t="shared" si="0"/>
        <v>46</v>
      </c>
      <c r="G49" s="3">
        <f t="shared" si="1"/>
        <v>150.49514684053941</v>
      </c>
      <c r="H49" s="3">
        <f t="shared" si="2"/>
        <v>197.41167268831629</v>
      </c>
      <c r="I49" s="3">
        <f t="shared" si="3"/>
        <v>347.90681952885569</v>
      </c>
      <c r="J49" s="2">
        <f t="shared" si="4"/>
        <v>3711.6729536278935</v>
      </c>
    </row>
    <row r="50" spans="6:10" x14ac:dyDescent="0.25">
      <c r="F50" s="5">
        <f t="shared" si="0"/>
        <v>47</v>
      </c>
      <c r="G50" s="3">
        <f t="shared" si="1"/>
        <v>142.89503031472711</v>
      </c>
      <c r="H50" s="3">
        <f t="shared" si="2"/>
        <v>205.01178921412858</v>
      </c>
      <c r="I50" s="3">
        <f t="shared" si="3"/>
        <v>347.90681952885569</v>
      </c>
      <c r="J50" s="2">
        <f t="shared" si="4"/>
        <v>3506.6611644137652</v>
      </c>
    </row>
    <row r="51" spans="6:10" x14ac:dyDescent="0.25">
      <c r="F51" s="5">
        <f t="shared" si="0"/>
        <v>48</v>
      </c>
      <c r="G51" s="3">
        <f t="shared" si="1"/>
        <v>135.00231826799481</v>
      </c>
      <c r="H51" s="3">
        <f t="shared" si="2"/>
        <v>212.90450126086088</v>
      </c>
      <c r="I51" s="3">
        <f t="shared" si="3"/>
        <v>347.90681952885569</v>
      </c>
      <c r="J51" s="2">
        <f t="shared" si="4"/>
        <v>3293.7566631529044</v>
      </c>
    </row>
    <row r="52" spans="6:10" x14ac:dyDescent="0.25">
      <c r="F52" s="5">
        <f t="shared" si="0"/>
        <v>49</v>
      </c>
      <c r="G52" s="3">
        <f t="shared" si="1"/>
        <v>126.80574611794148</v>
      </c>
      <c r="H52" s="3">
        <f t="shared" si="2"/>
        <v>221.10107341091421</v>
      </c>
      <c r="I52" s="3">
        <f t="shared" si="3"/>
        <v>347.90681952885569</v>
      </c>
      <c r="J52" s="2">
        <f t="shared" si="4"/>
        <v>3072.6555897419903</v>
      </c>
    </row>
    <row r="53" spans="6:10" x14ac:dyDescent="0.25">
      <c r="F53" s="5">
        <f t="shared" si="0"/>
        <v>50</v>
      </c>
      <c r="G53" s="3">
        <f t="shared" si="1"/>
        <v>118.2936156090317</v>
      </c>
      <c r="H53" s="3">
        <f t="shared" si="2"/>
        <v>229.613203919824</v>
      </c>
      <c r="I53" s="3">
        <f t="shared" si="3"/>
        <v>347.90681952885569</v>
      </c>
      <c r="J53" s="2">
        <f t="shared" si="4"/>
        <v>2843.0423858221661</v>
      </c>
    </row>
    <row r="54" spans="6:10" x14ac:dyDescent="0.25">
      <c r="F54" s="5">
        <f t="shared" si="0"/>
        <v>51</v>
      </c>
      <c r="G54" s="3">
        <f t="shared" si="1"/>
        <v>109.45377811669152</v>
      </c>
      <c r="H54" s="3">
        <f t="shared" si="2"/>
        <v>238.45304141216417</v>
      </c>
      <c r="I54" s="3">
        <f t="shared" si="3"/>
        <v>347.90681952885569</v>
      </c>
      <c r="J54" s="2">
        <f t="shared" si="4"/>
        <v>2604.589344410002</v>
      </c>
    </row>
    <row r="55" spans="6:10" x14ac:dyDescent="0.25">
      <c r="F55" s="5">
        <f t="shared" si="0"/>
        <v>52</v>
      </c>
      <c r="G55" s="3">
        <f t="shared" si="1"/>
        <v>100.2736173086318</v>
      </c>
      <c r="H55" s="3">
        <f t="shared" si="2"/>
        <v>247.63320222022389</v>
      </c>
      <c r="I55" s="3">
        <f t="shared" si="3"/>
        <v>347.90681952885569</v>
      </c>
      <c r="J55" s="2">
        <f t="shared" si="4"/>
        <v>2356.9561421897779</v>
      </c>
    </row>
    <row r="56" spans="6:10" x14ac:dyDescent="0.25">
      <c r="F56" s="5">
        <f t="shared" si="0"/>
        <v>53</v>
      </c>
      <c r="G56" s="3">
        <f t="shared" si="1"/>
        <v>90.740031138652824</v>
      </c>
      <c r="H56" s="3">
        <f t="shared" si="2"/>
        <v>257.1667883902029</v>
      </c>
      <c r="I56" s="3">
        <f t="shared" si="3"/>
        <v>347.90681952885569</v>
      </c>
      <c r="J56" s="2">
        <f t="shared" si="4"/>
        <v>2099.7893537995751</v>
      </c>
    </row>
    <row r="57" spans="6:10" x14ac:dyDescent="0.25">
      <c r="F57" s="5">
        <f t="shared" si="0"/>
        <v>54</v>
      </c>
      <c r="G57" s="3">
        <f t="shared" si="1"/>
        <v>80.839413147231824</v>
      </c>
      <c r="H57" s="3">
        <f t="shared" si="2"/>
        <v>267.06740638162387</v>
      </c>
      <c r="I57" s="3">
        <f t="shared" si="3"/>
        <v>347.90681952885569</v>
      </c>
      <c r="J57" s="2">
        <f t="shared" si="4"/>
        <v>1832.7219474179512</v>
      </c>
    </row>
    <row r="58" spans="6:10" x14ac:dyDescent="0.25">
      <c r="F58" s="5">
        <f t="shared" si="0"/>
        <v>55</v>
      </c>
      <c r="G58" s="3">
        <f t="shared" si="1"/>
        <v>70.557633042204927</v>
      </c>
      <c r="H58" s="3">
        <f t="shared" si="2"/>
        <v>277.34918648665075</v>
      </c>
      <c r="I58" s="3">
        <f t="shared" si="3"/>
        <v>347.90681952885569</v>
      </c>
      <c r="J58" s="2">
        <f t="shared" si="4"/>
        <v>1555.3727609313005</v>
      </c>
    </row>
    <row r="59" spans="6:10" x14ac:dyDescent="0.25">
      <c r="F59" s="5">
        <f t="shared" si="0"/>
        <v>56</v>
      </c>
      <c r="G59" s="3">
        <f t="shared" si="1"/>
        <v>59.880016531828495</v>
      </c>
      <c r="H59" s="3">
        <f t="shared" si="2"/>
        <v>288.02680299702718</v>
      </c>
      <c r="I59" s="3">
        <f t="shared" si="3"/>
        <v>347.90681952885569</v>
      </c>
      <c r="J59" s="2">
        <f t="shared" si="4"/>
        <v>1267.3459579342734</v>
      </c>
    </row>
    <row r="60" spans="6:10" x14ac:dyDescent="0.25">
      <c r="F60" s="5">
        <f t="shared" si="0"/>
        <v>57</v>
      </c>
      <c r="G60" s="3">
        <f t="shared" si="1"/>
        <v>48.791324381436986</v>
      </c>
      <c r="H60" s="3">
        <f t="shared" si="2"/>
        <v>299.1154951474187</v>
      </c>
      <c r="I60" s="3">
        <f t="shared" si="3"/>
        <v>347.90681952885569</v>
      </c>
      <c r="J60" s="2">
        <f t="shared" si="4"/>
        <v>968.23046278685479</v>
      </c>
    </row>
    <row r="61" spans="6:10" x14ac:dyDescent="0.25">
      <c r="F61" s="5">
        <f t="shared" si="0"/>
        <v>58</v>
      </c>
      <c r="G61" s="3">
        <f t="shared" si="1"/>
        <v>37.275730663806868</v>
      </c>
      <c r="H61" s="3">
        <f t="shared" si="2"/>
        <v>310.63108886504881</v>
      </c>
      <c r="I61" s="3">
        <f t="shared" si="3"/>
        <v>347.90681952885569</v>
      </c>
      <c r="J61" s="2">
        <f t="shared" si="4"/>
        <v>657.59937392180598</v>
      </c>
    </row>
    <row r="62" spans="6:10" x14ac:dyDescent="0.25">
      <c r="F62" s="5">
        <f t="shared" si="0"/>
        <v>59</v>
      </c>
      <c r="G62" s="3">
        <f t="shared" si="1"/>
        <v>25.31680017218526</v>
      </c>
      <c r="H62" s="3">
        <f t="shared" si="2"/>
        <v>322.59001935667044</v>
      </c>
      <c r="I62" s="3">
        <f t="shared" si="3"/>
        <v>347.90681952885569</v>
      </c>
      <c r="J62" s="2">
        <f t="shared" si="4"/>
        <v>335.00935456513554</v>
      </c>
    </row>
    <row r="63" spans="6:10" x14ac:dyDescent="0.25">
      <c r="F63" s="5">
        <f t="shared" si="0"/>
        <v>60</v>
      </c>
      <c r="G63" s="3">
        <f t="shared" si="1"/>
        <v>12.897464963746758</v>
      </c>
      <c r="H63" s="3">
        <f t="shared" si="2"/>
        <v>335.00935456510894</v>
      </c>
      <c r="I63" s="3">
        <f t="shared" si="3"/>
        <v>347.90681952885569</v>
      </c>
      <c r="J63" s="2">
        <f t="shared" si="4"/>
        <v>2.6602720026858151E-11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D9BC-74AE-4A53-819E-D7B75A87B9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salaspr</dc:creator>
  <cp:lastModifiedBy>salaspr</cp:lastModifiedBy>
  <dcterms:created xsi:type="dcterms:W3CDTF">2026-03-17T16:38:12Z</dcterms:created>
  <dcterms:modified xsi:type="dcterms:W3CDTF">2026-03-17T19:13:27Z</dcterms:modified>
</cp:coreProperties>
</file>