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aspr\Documents\"/>
    </mc:Choice>
  </mc:AlternateContent>
  <xr:revisionPtr revIDLastSave="0" documentId="13_ncr:1_{F552006D-0AEA-410A-8186-65FF0B8FAE42}" xr6:coauthVersionLast="47" xr6:coauthVersionMax="47" xr10:uidLastSave="{00000000-0000-0000-0000-000000000000}"/>
  <bookViews>
    <workbookView xWindow="-120" yWindow="-120" windowWidth="20730" windowHeight="11040" xr2:uid="{ABDAA607-8CA5-405B-ADFF-DE090112FC27}"/>
  </bookViews>
  <sheets>
    <sheet name="Gracia Parcial" sheetId="1" r:id="rId1"/>
    <sheet name="Gracia Total " sheetId="2" r:id="rId2"/>
    <sheet name="Gracia Parcial con 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" i="3" l="1"/>
  <c r="I7" i="3"/>
  <c r="I9" i="3"/>
  <c r="I10" i="3" s="1"/>
  <c r="C12" i="3"/>
  <c r="C7" i="3"/>
  <c r="C6" i="3"/>
  <c r="E5" i="3"/>
  <c r="E6" i="3" s="1"/>
  <c r="E7" i="3" s="1"/>
  <c r="E8" i="3" s="1"/>
  <c r="E9" i="3" s="1"/>
  <c r="E10" i="3" s="1"/>
  <c r="E11" i="3" s="1"/>
  <c r="L11" i="3" s="1"/>
  <c r="C4" i="3"/>
  <c r="J3" i="3"/>
  <c r="I13" i="1"/>
  <c r="H13" i="1"/>
  <c r="C10" i="1"/>
  <c r="C12" i="1" s="1"/>
  <c r="I6" i="1" s="1"/>
  <c r="N6" i="2"/>
  <c r="N5" i="2"/>
  <c r="C6" i="2"/>
  <c r="C7" i="2" s="1"/>
  <c r="E5" i="2"/>
  <c r="E6" i="2" s="1"/>
  <c r="E7" i="2" s="1"/>
  <c r="E8" i="2" s="1"/>
  <c r="E9" i="2" s="1"/>
  <c r="E10" i="2" s="1"/>
  <c r="E11" i="2" s="1"/>
  <c r="L11" i="2" s="1"/>
  <c r="C4" i="2"/>
  <c r="J3" i="2"/>
  <c r="E6" i="1"/>
  <c r="E7" i="1" s="1"/>
  <c r="E8" i="1" s="1"/>
  <c r="E9" i="1" s="1"/>
  <c r="E10" i="1" s="1"/>
  <c r="E11" i="1" s="1"/>
  <c r="E5" i="1"/>
  <c r="G6" i="1"/>
  <c r="C9" i="1"/>
  <c r="J5" i="1"/>
  <c r="H5" i="1"/>
  <c r="I5" i="1"/>
  <c r="G5" i="1"/>
  <c r="J4" i="1"/>
  <c r="I4" i="1"/>
  <c r="H4" i="1"/>
  <c r="G4" i="1"/>
  <c r="J3" i="1"/>
  <c r="C7" i="1"/>
  <c r="C6" i="1"/>
  <c r="C4" i="1"/>
  <c r="C9" i="3" l="1"/>
  <c r="G4" i="3"/>
  <c r="I4" i="3" s="1"/>
  <c r="H6" i="1"/>
  <c r="J6" i="1" s="1"/>
  <c r="I7" i="1"/>
  <c r="C9" i="2"/>
  <c r="G4" i="2"/>
  <c r="L6" i="1"/>
  <c r="L5" i="1"/>
  <c r="L4" i="1"/>
  <c r="L11" i="1"/>
  <c r="L4" i="3" l="1"/>
  <c r="H4" i="3"/>
  <c r="G7" i="1"/>
  <c r="H7" i="1"/>
  <c r="J7" i="1" s="1"/>
  <c r="I8" i="1"/>
  <c r="L7" i="1"/>
  <c r="H4" i="2"/>
  <c r="J4" i="2" s="1"/>
  <c r="L4" i="2"/>
  <c r="J4" i="3" l="1"/>
  <c r="G8" i="1"/>
  <c r="H8" i="1" s="1"/>
  <c r="J8" i="1"/>
  <c r="G9" i="1" s="1"/>
  <c r="I9" i="1"/>
  <c r="L8" i="1"/>
  <c r="G5" i="2"/>
  <c r="G5" i="3" l="1"/>
  <c r="I5" i="3" s="1"/>
  <c r="H9" i="1"/>
  <c r="J9" i="1" s="1"/>
  <c r="G10" i="1" s="1"/>
  <c r="I10" i="1"/>
  <c r="L10" i="1" s="1"/>
  <c r="L9" i="1"/>
  <c r="L13" i="1" s="1"/>
  <c r="H5" i="2"/>
  <c r="J5" i="2" s="1"/>
  <c r="L5" i="2"/>
  <c r="L5" i="3" l="1"/>
  <c r="H5" i="3"/>
  <c r="H10" i="1"/>
  <c r="J10" i="1" s="1"/>
  <c r="G11" i="1" s="1"/>
  <c r="H11" i="1" s="1"/>
  <c r="J11" i="1" s="1"/>
  <c r="C10" i="2"/>
  <c r="C12" i="2" s="1"/>
  <c r="I6" i="2" s="1"/>
  <c r="G6" i="2"/>
  <c r="J5" i="3" l="1"/>
  <c r="H6" i="2"/>
  <c r="J6" i="2" s="1"/>
  <c r="I7" i="2"/>
  <c r="L6" i="2"/>
  <c r="C10" i="3" l="1"/>
  <c r="I6" i="3" s="1"/>
  <c r="G6" i="3"/>
  <c r="L7" i="2"/>
  <c r="I8" i="2"/>
  <c r="G7" i="2"/>
  <c r="H7" i="2" s="1"/>
  <c r="J7" i="2" s="1"/>
  <c r="L6" i="3" l="1"/>
  <c r="H6" i="3"/>
  <c r="G8" i="2"/>
  <c r="H8" i="2" s="1"/>
  <c r="J8" i="2" s="1"/>
  <c r="I9" i="2"/>
  <c r="L8" i="2"/>
  <c r="J6" i="3" l="1"/>
  <c r="L7" i="3"/>
  <c r="G9" i="2"/>
  <c r="H9" i="2" s="1"/>
  <c r="J9" i="2" s="1"/>
  <c r="I10" i="2"/>
  <c r="L9" i="2"/>
  <c r="G7" i="3" l="1"/>
  <c r="H7" i="3" s="1"/>
  <c r="L8" i="3"/>
  <c r="G10" i="2"/>
  <c r="H10" i="2" s="1"/>
  <c r="J10" i="2" s="1"/>
  <c r="L10" i="2"/>
  <c r="L13" i="2" s="1"/>
  <c r="L9" i="3" l="1"/>
  <c r="J7" i="3"/>
  <c r="G11" i="2"/>
  <c r="H11" i="2" s="1"/>
  <c r="J11" i="2" s="1"/>
  <c r="G8" i="3" l="1"/>
  <c r="H8" i="3" s="1"/>
  <c r="J8" i="3" s="1"/>
  <c r="L10" i="3"/>
  <c r="L13" i="3" s="1"/>
  <c r="I13" i="3"/>
  <c r="G9" i="3" l="1"/>
  <c r="H9" i="3" s="1"/>
  <c r="J9" i="3" s="1"/>
  <c r="G10" i="3" l="1"/>
  <c r="H10" i="3" s="1"/>
  <c r="J10" i="3" s="1"/>
  <c r="G11" i="3" l="1"/>
  <c r="H11" i="3" s="1"/>
  <c r="H13" i="3" s="1"/>
  <c r="J11" i="3" l="1"/>
</calcChain>
</file>

<file path=xl/sharedStrings.xml><?xml version="1.0" encoding="utf-8"?>
<sst xmlns="http://schemas.openxmlformats.org/spreadsheetml/2006/main" count="73" uniqueCount="25">
  <si>
    <t xml:space="preserve">Valor Caratula (UF) </t>
  </si>
  <si>
    <t>Tasa Caratula Nominal Anual</t>
  </si>
  <si>
    <t xml:space="preserve">Tasa Inflacion Semestral </t>
  </si>
  <si>
    <t xml:space="preserve">Tasa Real Trimestral </t>
  </si>
  <si>
    <t>Tasa Caratula Nominal Trimestral</t>
  </si>
  <si>
    <t xml:space="preserve">Tasa Inflacion Trimestral </t>
  </si>
  <si>
    <t>Periodo</t>
  </si>
  <si>
    <t>Intereses</t>
  </si>
  <si>
    <t>Amortización</t>
  </si>
  <si>
    <t>Cupon</t>
  </si>
  <si>
    <t xml:space="preserve">Capital </t>
  </si>
  <si>
    <t>Inicio</t>
  </si>
  <si>
    <t>Cupón 1</t>
  </si>
  <si>
    <t>Cupón 2</t>
  </si>
  <si>
    <t>Cupón 3</t>
  </si>
  <si>
    <t>Cupón 4</t>
  </si>
  <si>
    <t>Cupón 5</t>
  </si>
  <si>
    <t>Cupón 6</t>
  </si>
  <si>
    <t>Cupón 7</t>
  </si>
  <si>
    <t>Cupón 8</t>
  </si>
  <si>
    <t xml:space="preserve">Valor Cupón 3 al 7 </t>
  </si>
  <si>
    <t>Valor Capital (inicio periodo 3)</t>
  </si>
  <si>
    <t xml:space="preserve">Valor Anualidad </t>
  </si>
  <si>
    <t>Tasa Mercado</t>
  </si>
  <si>
    <t xml:space="preserve">Crecimiento timestral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</si>
</sst>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6" formatCode="0.0000%"/>
    <numFmt numFmtId="168" formatCode="_ &quot;$&quot;* #,##0.00_ ;_ &quot;$&quot;* \-#,##0.00_ ;_ &quot;$&quot;* &quot;-&quot;_ ;_ @_ "/>
    <numFmt numFmtId="171" formatCode="_ &quot;$&quot;* #,##0.00_ ;_ &quot;$&quot;* \-#,##0.00_ ;_ &quot;$&quot;* &quot;-&quot;??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3" fontId="0" fillId="0" borderId="0" xfId="0" applyNumberFormat="1"/>
    <xf numFmtId="10" fontId="0" fillId="0" borderId="0" xfId="2" applyNumberFormat="1" applyFont="1"/>
    <xf numFmtId="166" fontId="0" fillId="0" borderId="0" xfId="2" applyNumberFormat="1" applyFont="1"/>
    <xf numFmtId="166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/>
    <xf numFmtId="168" fontId="0" fillId="0" borderId="0" xfId="1" applyNumberFormat="1" applyFont="1"/>
    <xf numFmtId="44" fontId="0" fillId="0" borderId="0" xfId="0" applyNumberFormat="1"/>
    <xf numFmtId="171" fontId="0" fillId="0" borderId="0" xfId="0" applyNumberFormat="1"/>
    <xf numFmtId="9" fontId="0" fillId="0" borderId="0" xfId="0" applyNumberFormat="1"/>
    <xf numFmtId="168" fontId="0" fillId="0" borderId="0" xfId="0" applyNumberFormat="1"/>
    <xf numFmtId="4" fontId="3" fillId="2" borderId="0" xfId="0" applyNumberFormat="1" applyFont="1" applyFill="1"/>
    <xf numFmtId="171" fontId="3" fillId="2" borderId="0" xfId="0" applyNumberFormat="1" applyFont="1" applyFill="1"/>
  </cellXfs>
  <cellStyles count="3">
    <cellStyle name="Moneda [0]" xfId="1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E5857-FA07-4C3C-928D-BAED252996EB}">
  <dimension ref="B1:M13"/>
  <sheetViews>
    <sheetView tabSelected="1" workbookViewId="0">
      <selection activeCell="I1" sqref="I1:I1048576"/>
    </sheetView>
  </sheetViews>
  <sheetFormatPr baseColWidth="10" defaultRowHeight="15" x14ac:dyDescent="0.25"/>
  <cols>
    <col min="2" max="2" width="30.42578125" bestFit="1" customWidth="1"/>
    <col min="3" max="3" width="14" bestFit="1" customWidth="1"/>
    <col min="4" max="4" width="2.28515625" customWidth="1"/>
    <col min="5" max="5" width="11.42578125" style="5"/>
    <col min="7" max="7" width="11.5703125" bestFit="1" customWidth="1"/>
    <col min="8" max="8" width="12.7109375" bestFit="1" customWidth="1"/>
    <col min="9" max="10" width="11.7109375" bestFit="1" customWidth="1"/>
    <col min="11" max="11" width="2.28515625" customWidth="1"/>
    <col min="12" max="12" width="13.5703125" bestFit="1" customWidth="1"/>
  </cols>
  <sheetData>
    <row r="1" spans="2:13" x14ac:dyDescent="0.25">
      <c r="L1" t="s">
        <v>23</v>
      </c>
      <c r="M1" s="10">
        <v>0.02</v>
      </c>
    </row>
    <row r="2" spans="2:13" x14ac:dyDescent="0.25">
      <c r="B2" t="s">
        <v>0</v>
      </c>
      <c r="C2" s="1">
        <v>1000000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2:13" x14ac:dyDescent="0.25">
      <c r="B3" t="s">
        <v>1</v>
      </c>
      <c r="C3" s="2">
        <v>0.12</v>
      </c>
      <c r="F3" t="s">
        <v>11</v>
      </c>
      <c r="G3" s="6"/>
      <c r="H3" s="6"/>
      <c r="I3" s="6"/>
      <c r="J3" s="6">
        <f>+C2</f>
        <v>1000000</v>
      </c>
    </row>
    <row r="4" spans="2:13" x14ac:dyDescent="0.25">
      <c r="B4" t="s">
        <v>4</v>
      </c>
      <c r="C4" s="3">
        <f>((1+C3)^(1/4))-1</f>
        <v>2.8737344722080227E-2</v>
      </c>
      <c r="E4" s="5">
        <v>1</v>
      </c>
      <c r="F4" t="s">
        <v>12</v>
      </c>
      <c r="G4" s="6">
        <f>+J3*C7</f>
        <v>18601.754244915726</v>
      </c>
      <c r="H4" s="6">
        <f>+I4-G4</f>
        <v>0</v>
      </c>
      <c r="I4" s="6">
        <f>+G4</f>
        <v>18601.754244915726</v>
      </c>
      <c r="J4" s="6">
        <f>+J3-H4</f>
        <v>1000000</v>
      </c>
      <c r="L4" s="7">
        <f>I4/(1+$M$1)^E4</f>
        <v>18237.013965603652</v>
      </c>
    </row>
    <row r="5" spans="2:13" x14ac:dyDescent="0.25">
      <c r="B5" t="s">
        <v>2</v>
      </c>
      <c r="C5" s="2">
        <v>0.02</v>
      </c>
      <c r="E5" s="5">
        <f>+E4+1</f>
        <v>2</v>
      </c>
      <c r="F5" t="s">
        <v>13</v>
      </c>
      <c r="G5" s="6">
        <f>+J4*C7</f>
        <v>18601.754244915726</v>
      </c>
      <c r="H5" s="6">
        <f>+I5-G5</f>
        <v>0</v>
      </c>
      <c r="I5" s="6">
        <f>+G5</f>
        <v>18601.754244915726</v>
      </c>
      <c r="J5" s="6">
        <f>+J4-H5</f>
        <v>1000000</v>
      </c>
      <c r="L5" s="7">
        <f t="shared" ref="L5:L11" si="0">I5/(1+$M$1)^E5</f>
        <v>17879.425456474171</v>
      </c>
    </row>
    <row r="6" spans="2:13" x14ac:dyDescent="0.25">
      <c r="B6" t="s">
        <v>5</v>
      </c>
      <c r="C6" s="3">
        <f>((1+C5)^(1/2))-1</f>
        <v>9.9504938362078299E-3</v>
      </c>
      <c r="E6" s="5">
        <f t="shared" ref="E6:E11" si="1">+E5+1</f>
        <v>3</v>
      </c>
      <c r="F6" t="s">
        <v>14</v>
      </c>
      <c r="G6" s="6">
        <f>+$C$7*J5</f>
        <v>18601.754244915726</v>
      </c>
      <c r="H6" s="6">
        <f>+I6-G6</f>
        <v>173778.67809298862</v>
      </c>
      <c r="I6" s="6">
        <f>+C12</f>
        <v>192380.43233790435</v>
      </c>
      <c r="J6" s="6">
        <f>+J5-H6</f>
        <v>826221.32190701133</v>
      </c>
      <c r="L6" s="7">
        <f t="shared" si="0"/>
        <v>181284.37812182377</v>
      </c>
    </row>
    <row r="7" spans="2:13" x14ac:dyDescent="0.25">
      <c r="B7" t="s">
        <v>3</v>
      </c>
      <c r="C7" s="4">
        <f>((1+C4)/(1+C6))-1</f>
        <v>1.8601754244915725E-2</v>
      </c>
      <c r="E7" s="5">
        <f t="shared" si="1"/>
        <v>4</v>
      </c>
      <c r="F7" t="s">
        <v>15</v>
      </c>
      <c r="G7" s="6">
        <f t="shared" ref="G7:G11" si="2">+$C$7*J6</f>
        <v>15369.165982023629</v>
      </c>
      <c r="H7" s="6">
        <f t="shared" ref="H7:H11" si="3">+I7-G7</f>
        <v>177011.26635588071</v>
      </c>
      <c r="I7" s="6">
        <f>+I6</f>
        <v>192380.43233790435</v>
      </c>
      <c r="J7" s="6">
        <f t="shared" ref="J7:J11" si="4">+J6-H7</f>
        <v>649210.05555113056</v>
      </c>
      <c r="L7" s="7">
        <f t="shared" si="0"/>
        <v>177729.78247237625</v>
      </c>
    </row>
    <row r="8" spans="2:13" x14ac:dyDescent="0.25">
      <c r="E8" s="5">
        <f t="shared" si="1"/>
        <v>5</v>
      </c>
      <c r="F8" t="s">
        <v>16</v>
      </c>
      <c r="G8" s="6">
        <f t="shared" si="2"/>
        <v>12076.445906690216</v>
      </c>
      <c r="H8" s="6">
        <f t="shared" si="3"/>
        <v>180303.98643121414</v>
      </c>
      <c r="I8" s="6">
        <f t="shared" ref="I8:I10" si="5">+I7</f>
        <v>192380.43233790435</v>
      </c>
      <c r="J8" s="6">
        <f t="shared" si="4"/>
        <v>468906.06911991641</v>
      </c>
      <c r="L8" s="7">
        <f t="shared" si="0"/>
        <v>174244.88477683943</v>
      </c>
    </row>
    <row r="9" spans="2:13" x14ac:dyDescent="0.25">
      <c r="B9" t="s">
        <v>20</v>
      </c>
      <c r="C9" s="7">
        <f>+I11/(1+C7)^6</f>
        <v>89531.009480619716</v>
      </c>
      <c r="E9" s="5">
        <f t="shared" si="1"/>
        <v>6</v>
      </c>
      <c r="F9" t="s">
        <v>17</v>
      </c>
      <c r="G9" s="6">
        <f t="shared" si="2"/>
        <v>8722.4754617181516</v>
      </c>
      <c r="H9" s="6">
        <f t="shared" si="3"/>
        <v>183657.95687618619</v>
      </c>
      <c r="I9" s="6">
        <f t="shared" si="5"/>
        <v>192380.43233790435</v>
      </c>
      <c r="J9" s="6">
        <f t="shared" si="4"/>
        <v>285248.11224373023</v>
      </c>
      <c r="L9" s="7">
        <f t="shared" si="0"/>
        <v>170828.31840866612</v>
      </c>
    </row>
    <row r="10" spans="2:13" x14ac:dyDescent="0.25">
      <c r="B10" t="s">
        <v>21</v>
      </c>
      <c r="C10" s="8">
        <f>+J5-C9</f>
        <v>910468.99051938031</v>
      </c>
      <c r="E10" s="5">
        <f t="shared" si="1"/>
        <v>7</v>
      </c>
      <c r="F10" t="s">
        <v>18</v>
      </c>
      <c r="G10" s="6">
        <f t="shared" si="2"/>
        <v>5306.115282784006</v>
      </c>
      <c r="H10" s="6">
        <f t="shared" si="3"/>
        <v>187074.31705512034</v>
      </c>
      <c r="I10" s="6">
        <f t="shared" si="5"/>
        <v>192380.43233790435</v>
      </c>
      <c r="J10" s="6">
        <f t="shared" si="4"/>
        <v>98173.795188609889</v>
      </c>
      <c r="L10" s="7">
        <f t="shared" si="0"/>
        <v>167478.74353790798</v>
      </c>
    </row>
    <row r="11" spans="2:13" x14ac:dyDescent="0.25">
      <c r="E11" s="5">
        <f t="shared" si="1"/>
        <v>8</v>
      </c>
      <c r="F11" t="s">
        <v>19</v>
      </c>
      <c r="G11" s="6">
        <f t="shared" si="2"/>
        <v>1826.204811389211</v>
      </c>
      <c r="H11" s="6">
        <f t="shared" si="3"/>
        <v>98173.795188610791</v>
      </c>
      <c r="I11" s="6">
        <v>100000</v>
      </c>
      <c r="J11" s="6">
        <f t="shared" si="4"/>
        <v>-9.0221874415874481E-10</v>
      </c>
      <c r="L11" s="7">
        <f t="shared" si="0"/>
        <v>85349.037119011162</v>
      </c>
    </row>
    <row r="12" spans="2:13" x14ac:dyDescent="0.25">
      <c r="B12" t="s">
        <v>22</v>
      </c>
      <c r="C12" s="9">
        <f>(C10*C7)/(1-(1/(1+C7)^5))</f>
        <v>192380.43233790435</v>
      </c>
    </row>
    <row r="13" spans="2:13" x14ac:dyDescent="0.25">
      <c r="H13" s="6">
        <f>SUM(H4:H12)</f>
        <v>1000000.0000000008</v>
      </c>
      <c r="I13" s="6">
        <f>SUM(I4:I12)</f>
        <v>1099105.6701793531</v>
      </c>
      <c r="L13" s="11">
        <f>SUM(L4:L12)</f>
        <v>993031.58385870256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FF822-D9BD-477E-9AA2-1F3E8042E90B}">
  <dimension ref="B1:N13"/>
  <sheetViews>
    <sheetView workbookViewId="0">
      <selection activeCell="H14" sqref="H14"/>
    </sheetView>
  </sheetViews>
  <sheetFormatPr baseColWidth="10" defaultRowHeight="15" x14ac:dyDescent="0.25"/>
  <cols>
    <col min="2" max="2" width="30.42578125" bestFit="1" customWidth="1"/>
    <col min="3" max="3" width="14" bestFit="1" customWidth="1"/>
    <col min="4" max="4" width="2.28515625" customWidth="1"/>
    <col min="5" max="5" width="11.42578125" style="5"/>
    <col min="7" max="7" width="11.5703125" bestFit="1" customWidth="1"/>
    <col min="10" max="10" width="11.7109375" bestFit="1" customWidth="1"/>
    <col min="11" max="11" width="2.28515625" customWidth="1"/>
    <col min="12" max="12" width="13.5703125" bestFit="1" customWidth="1"/>
  </cols>
  <sheetData>
    <row r="1" spans="2:14" x14ac:dyDescent="0.25">
      <c r="L1" t="s">
        <v>23</v>
      </c>
      <c r="M1" s="10">
        <v>0.02</v>
      </c>
    </row>
    <row r="2" spans="2:14" x14ac:dyDescent="0.25">
      <c r="B2" t="s">
        <v>0</v>
      </c>
      <c r="C2" s="1">
        <v>1000000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2:14" x14ac:dyDescent="0.25">
      <c r="B3" t="s">
        <v>1</v>
      </c>
      <c r="C3" s="2">
        <v>0.12</v>
      </c>
      <c r="F3" t="s">
        <v>11</v>
      </c>
      <c r="G3" s="6"/>
      <c r="H3" s="6"/>
      <c r="I3" s="6"/>
      <c r="J3" s="6">
        <f>+C2</f>
        <v>1000000</v>
      </c>
    </row>
    <row r="4" spans="2:14" x14ac:dyDescent="0.25">
      <c r="B4" t="s">
        <v>4</v>
      </c>
      <c r="C4" s="3">
        <f>((1+C3)^(1/4))-1</f>
        <v>2.8737344722080227E-2</v>
      </c>
      <c r="E4" s="5">
        <v>1</v>
      </c>
      <c r="F4" t="s">
        <v>12</v>
      </c>
      <c r="G4" s="6">
        <f>+J3*C7</f>
        <v>18601.754244915726</v>
      </c>
      <c r="H4" s="6">
        <f>+I4-G4</f>
        <v>-18601.754244915726</v>
      </c>
      <c r="I4" s="6">
        <v>0</v>
      </c>
      <c r="J4" s="6">
        <f>+J3-H4</f>
        <v>1018601.7542449157</v>
      </c>
      <c r="L4" s="7">
        <f>I4/(1+$M$1)^E4</f>
        <v>0</v>
      </c>
    </row>
    <row r="5" spans="2:14" x14ac:dyDescent="0.25">
      <c r="B5" t="s">
        <v>2</v>
      </c>
      <c r="C5" s="2">
        <v>0.02</v>
      </c>
      <c r="E5" s="5">
        <f>+E4+1</f>
        <v>2</v>
      </c>
      <c r="F5" t="s">
        <v>13</v>
      </c>
      <c r="G5" s="6">
        <f>+J4*C7</f>
        <v>18947.779505903964</v>
      </c>
      <c r="H5" s="6">
        <f>+I5-G5</f>
        <v>-18947.779505903964</v>
      </c>
      <c r="I5" s="6">
        <v>0</v>
      </c>
      <c r="J5" s="6">
        <f>+J4-H5</f>
        <v>1037549.5337508196</v>
      </c>
      <c r="L5" s="7">
        <f t="shared" ref="L5:L11" si="0">I5/(1+$M$1)^E5</f>
        <v>0</v>
      </c>
      <c r="N5" s="6">
        <f>+J5-J3</f>
        <v>37549.533750819624</v>
      </c>
    </row>
    <row r="6" spans="2:14" x14ac:dyDescent="0.25">
      <c r="B6" t="s">
        <v>5</v>
      </c>
      <c r="C6" s="3">
        <f>((1+C5)^(1/2))-1</f>
        <v>9.9504938362078299E-3</v>
      </c>
      <c r="E6" s="5">
        <f t="shared" ref="E6:E11" si="1">+E5+1</f>
        <v>3</v>
      </c>
      <c r="F6" t="s">
        <v>14</v>
      </c>
      <c r="G6" s="6">
        <f>+$C$7*J5</f>
        <v>19300.241443759642</v>
      </c>
      <c r="H6" s="6">
        <f>+I6-G6</f>
        <v>181014.33869301545</v>
      </c>
      <c r="I6" s="6">
        <f>+C12</f>
        <v>200314.5801367751</v>
      </c>
      <c r="J6" s="6">
        <f>+J5-H6</f>
        <v>856535.19505780423</v>
      </c>
      <c r="L6" s="7">
        <f t="shared" si="0"/>
        <v>188760.90279829694</v>
      </c>
      <c r="N6">
        <f>+N5/2</f>
        <v>18774.766875409812</v>
      </c>
    </row>
    <row r="7" spans="2:14" x14ac:dyDescent="0.25">
      <c r="B7" t="s">
        <v>3</v>
      </c>
      <c r="C7" s="4">
        <f>((1+C4)/(1+C6))-1</f>
        <v>1.8601754244915725E-2</v>
      </c>
      <c r="E7" s="5">
        <f t="shared" si="1"/>
        <v>4</v>
      </c>
      <c r="F7" t="s">
        <v>15</v>
      </c>
      <c r="G7" s="6">
        <f t="shared" ref="G7:G11" si="2">+$C$7*J6</f>
        <v>15933.057200586229</v>
      </c>
      <c r="H7" s="6">
        <f t="shared" ref="H7:H11" si="3">+I7-G7</f>
        <v>184381.52293618888</v>
      </c>
      <c r="I7" s="6">
        <f>+I6</f>
        <v>200314.5801367751</v>
      </c>
      <c r="J7" s="6">
        <f t="shared" ref="J7:J11" si="4">+J6-H7</f>
        <v>672153.67212161538</v>
      </c>
      <c r="L7" s="7">
        <f t="shared" si="0"/>
        <v>185059.70862578132</v>
      </c>
    </row>
    <row r="8" spans="2:14" x14ac:dyDescent="0.25">
      <c r="E8" s="5">
        <f t="shared" si="1"/>
        <v>5</v>
      </c>
      <c r="F8" t="s">
        <v>16</v>
      </c>
      <c r="G8" s="6">
        <f t="shared" si="2"/>
        <v>12503.23742362395</v>
      </c>
      <c r="H8" s="6">
        <f t="shared" si="3"/>
        <v>187811.34271315116</v>
      </c>
      <c r="I8" s="6">
        <f t="shared" ref="I8:I10" si="5">+I7</f>
        <v>200314.5801367751</v>
      </c>
      <c r="J8" s="6">
        <f t="shared" si="4"/>
        <v>484342.32940846425</v>
      </c>
      <c r="L8" s="7">
        <f t="shared" si="0"/>
        <v>181431.08688802089</v>
      </c>
    </row>
    <row r="9" spans="2:14" x14ac:dyDescent="0.25">
      <c r="B9" t="s">
        <v>20</v>
      </c>
      <c r="C9" s="7">
        <f>+I11/(1+C7)^6</f>
        <v>89531.009480619716</v>
      </c>
      <c r="E9" s="5">
        <f t="shared" si="1"/>
        <v>6</v>
      </c>
      <c r="F9" t="s">
        <v>17</v>
      </c>
      <c r="G9" s="6">
        <f t="shared" si="2"/>
        <v>9009.6169820662708</v>
      </c>
      <c r="H9" s="6">
        <f t="shared" si="3"/>
        <v>191304.96315470882</v>
      </c>
      <c r="I9" s="6">
        <f t="shared" si="5"/>
        <v>200314.5801367751</v>
      </c>
      <c r="J9" s="6">
        <f t="shared" si="4"/>
        <v>293037.3662537554</v>
      </c>
      <c r="L9" s="7">
        <f t="shared" si="0"/>
        <v>177873.61459609889</v>
      </c>
    </row>
    <row r="10" spans="2:14" x14ac:dyDescent="0.25">
      <c r="B10" t="s">
        <v>21</v>
      </c>
      <c r="C10" s="8">
        <f>+J5-C9</f>
        <v>948018.52427019994</v>
      </c>
      <c r="E10" s="5">
        <f t="shared" si="1"/>
        <v>7</v>
      </c>
      <c r="F10" t="s">
        <v>18</v>
      </c>
      <c r="G10" s="6">
        <f t="shared" si="2"/>
        <v>5451.0090716297182</v>
      </c>
      <c r="H10" s="6">
        <f t="shared" si="3"/>
        <v>194863.57106514537</v>
      </c>
      <c r="I10" s="6">
        <f t="shared" si="5"/>
        <v>200314.5801367751</v>
      </c>
      <c r="J10" s="6">
        <f t="shared" si="4"/>
        <v>98173.795188610035</v>
      </c>
      <c r="L10" s="7">
        <f t="shared" si="0"/>
        <v>174385.8966628421</v>
      </c>
    </row>
    <row r="11" spans="2:14" x14ac:dyDescent="0.25">
      <c r="E11" s="5">
        <f t="shared" si="1"/>
        <v>8</v>
      </c>
      <c r="F11" t="s">
        <v>19</v>
      </c>
      <c r="G11" s="6">
        <f t="shared" si="2"/>
        <v>1826.2048113892138</v>
      </c>
      <c r="H11" s="6">
        <f t="shared" si="3"/>
        <v>98173.795188610791</v>
      </c>
      <c r="I11" s="6">
        <v>100000</v>
      </c>
      <c r="J11" s="6">
        <f t="shared" si="4"/>
        <v>-7.5669959187507629E-10</v>
      </c>
      <c r="L11" s="7">
        <f t="shared" si="0"/>
        <v>85349.037119011162</v>
      </c>
    </row>
    <row r="12" spans="2:14" x14ac:dyDescent="0.25">
      <c r="B12" t="s">
        <v>22</v>
      </c>
      <c r="C12" s="9">
        <f>(C10*C7)/(1-(1/(1+C7)^5))</f>
        <v>200314.5801367751</v>
      </c>
    </row>
    <row r="13" spans="2:14" x14ac:dyDescent="0.25">
      <c r="L13" s="11">
        <f>SUM(L4:L12)</f>
        <v>992860.24669005128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ADC46-34F8-4131-B403-C3DF6F6A864C}">
  <dimension ref="B1:M14"/>
  <sheetViews>
    <sheetView workbookViewId="0">
      <selection activeCell="J11" sqref="J11"/>
    </sheetView>
  </sheetViews>
  <sheetFormatPr baseColWidth="10" defaultRowHeight="15" x14ac:dyDescent="0.25"/>
  <cols>
    <col min="2" max="2" width="30.42578125" bestFit="1" customWidth="1"/>
    <col min="3" max="3" width="14" bestFit="1" customWidth="1"/>
    <col min="4" max="4" width="2.28515625" customWidth="1"/>
    <col min="5" max="5" width="11.42578125" style="5"/>
    <col min="7" max="7" width="11.5703125" bestFit="1" customWidth="1"/>
    <col min="8" max="8" width="12.7109375" bestFit="1" customWidth="1"/>
    <col min="9" max="10" width="11.7109375" bestFit="1" customWidth="1"/>
    <col min="11" max="11" width="2.28515625" customWidth="1"/>
    <col min="12" max="12" width="13.5703125" bestFit="1" customWidth="1"/>
  </cols>
  <sheetData>
    <row r="1" spans="2:13" x14ac:dyDescent="0.25">
      <c r="L1" t="s">
        <v>23</v>
      </c>
      <c r="M1" s="10">
        <v>0.02</v>
      </c>
    </row>
    <row r="2" spans="2:13" x14ac:dyDescent="0.25">
      <c r="B2" t="s">
        <v>0</v>
      </c>
      <c r="C2" s="1">
        <v>1000000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2:13" x14ac:dyDescent="0.25">
      <c r="B3" t="s">
        <v>1</v>
      </c>
      <c r="C3" s="2">
        <v>0.12</v>
      </c>
      <c r="F3" t="s">
        <v>11</v>
      </c>
      <c r="G3" s="6"/>
      <c r="H3" s="6"/>
      <c r="I3" s="6"/>
      <c r="J3" s="6">
        <f>+C2</f>
        <v>1000000</v>
      </c>
    </row>
    <row r="4" spans="2:13" x14ac:dyDescent="0.25">
      <c r="B4" t="s">
        <v>4</v>
      </c>
      <c r="C4" s="3">
        <f>((1+C3)^(1/4))-1</f>
        <v>2.8737344722080227E-2</v>
      </c>
      <c r="E4" s="5">
        <v>1</v>
      </c>
      <c r="F4" t="s">
        <v>12</v>
      </c>
      <c r="G4" s="6">
        <f>+J3*C7</f>
        <v>18601.754244915726</v>
      </c>
      <c r="H4" s="6">
        <f>+I4-G4</f>
        <v>0</v>
      </c>
      <c r="I4" s="6">
        <f>+G4</f>
        <v>18601.754244915726</v>
      </c>
      <c r="J4" s="6">
        <f>+J3-H4</f>
        <v>1000000</v>
      </c>
      <c r="L4" s="7">
        <f>I4/(1+$M$1)^E4</f>
        <v>18237.013965603652</v>
      </c>
    </row>
    <row r="5" spans="2:13" x14ac:dyDescent="0.25">
      <c r="B5" t="s">
        <v>2</v>
      </c>
      <c r="C5" s="2">
        <v>0.02</v>
      </c>
      <c r="E5" s="5">
        <f>+E4+1</f>
        <v>2</v>
      </c>
      <c r="F5" t="s">
        <v>13</v>
      </c>
      <c r="G5" s="6">
        <f>+J4*C7</f>
        <v>18601.754244915726</v>
      </c>
      <c r="H5" s="6">
        <f>+I5-G5</f>
        <v>0</v>
      </c>
      <c r="I5" s="6">
        <f>+G5</f>
        <v>18601.754244915726</v>
      </c>
      <c r="J5" s="6">
        <f>+J4-H5</f>
        <v>1000000</v>
      </c>
      <c r="L5" s="7">
        <f t="shared" ref="L5:L11" si="0">I5/(1+$M$1)^E5</f>
        <v>17879.425456474171</v>
      </c>
    </row>
    <row r="6" spans="2:13" x14ac:dyDescent="0.25">
      <c r="B6" t="s">
        <v>5</v>
      </c>
      <c r="C6" s="3">
        <f>((1+C5)^(1/2))-1</f>
        <v>9.9504938362078299E-3</v>
      </c>
      <c r="E6" s="5">
        <f t="shared" ref="E6:E11" si="1">+E5+1</f>
        <v>3</v>
      </c>
      <c r="F6" t="s">
        <v>14</v>
      </c>
      <c r="G6" s="6">
        <f>+$C$7*J5</f>
        <v>18601.754244915726</v>
      </c>
      <c r="H6" s="6">
        <f>+I6-G6</f>
        <v>170038.52585555508</v>
      </c>
      <c r="I6" s="12">
        <f>+C12</f>
        <v>188640.28010047082</v>
      </c>
      <c r="J6" s="6">
        <f>+J5-H6</f>
        <v>829961.47414444492</v>
      </c>
      <c r="L6" s="7">
        <f t="shared" si="0"/>
        <v>177759.94913388405</v>
      </c>
    </row>
    <row r="7" spans="2:13" x14ac:dyDescent="0.25">
      <c r="B7" t="s">
        <v>3</v>
      </c>
      <c r="C7" s="4">
        <f>((1+C4)/(1+C6))-1</f>
        <v>1.8601754244915725E-2</v>
      </c>
      <c r="E7" s="5">
        <f t="shared" si="1"/>
        <v>4</v>
      </c>
      <c r="F7" t="s">
        <v>15</v>
      </c>
      <c r="G7" s="6">
        <f t="shared" ref="G7:G11" si="2">+$C$7*J6</f>
        <v>15438.739374782941</v>
      </c>
      <c r="H7" s="6">
        <f t="shared" ref="H7:H11" si="3">+I7-G7</f>
        <v>175087.94352669257</v>
      </c>
      <c r="I7" s="6">
        <f>+I6*1.01</f>
        <v>190526.68290147552</v>
      </c>
      <c r="J7" s="6">
        <f t="shared" ref="J7:J11" si="4">+J6-H7</f>
        <v>654873.53061775235</v>
      </c>
      <c r="L7" s="7">
        <f t="shared" si="0"/>
        <v>176017.20453453224</v>
      </c>
    </row>
    <row r="8" spans="2:13" x14ac:dyDescent="0.25">
      <c r="E8" s="5">
        <f t="shared" si="1"/>
        <v>5</v>
      </c>
      <c r="F8" t="s">
        <v>16</v>
      </c>
      <c r="G8" s="6">
        <f t="shared" si="2"/>
        <v>12181.796478051723</v>
      </c>
      <c r="H8" s="6">
        <f t="shared" si="3"/>
        <v>180250.15325243855</v>
      </c>
      <c r="I8" s="6">
        <f>+I7*1.01</f>
        <v>192431.94973049028</v>
      </c>
      <c r="J8" s="6">
        <f t="shared" si="4"/>
        <v>474623.37736531382</v>
      </c>
      <c r="L8" s="7">
        <f t="shared" si="0"/>
        <v>174291.54566654662</v>
      </c>
    </row>
    <row r="9" spans="2:13" x14ac:dyDescent="0.25">
      <c r="B9" t="s">
        <v>20</v>
      </c>
      <c r="C9" s="7">
        <f>+I11/(1+C7)^6</f>
        <v>89531.009480619716</v>
      </c>
      <c r="E9" s="5">
        <f t="shared" si="1"/>
        <v>6</v>
      </c>
      <c r="F9" t="s">
        <v>17</v>
      </c>
      <c r="G9" s="6">
        <f t="shared" si="2"/>
        <v>8828.8274246414639</v>
      </c>
      <c r="H9" s="6">
        <f t="shared" si="3"/>
        <v>185527.44180315372</v>
      </c>
      <c r="I9" s="6">
        <f t="shared" ref="I8:I10" si="5">+I8*1.01</f>
        <v>194356.26922779519</v>
      </c>
      <c r="J9" s="6">
        <f t="shared" si="4"/>
        <v>289095.9355621601</v>
      </c>
      <c r="L9" s="7">
        <f t="shared" si="0"/>
        <v>172582.80502275695</v>
      </c>
    </row>
    <row r="10" spans="2:13" x14ac:dyDescent="0.25">
      <c r="B10" t="s">
        <v>21</v>
      </c>
      <c r="C10" s="8">
        <f>+J5-C9</f>
        <v>910468.99051938031</v>
      </c>
      <c r="E10" s="5">
        <f t="shared" si="1"/>
        <v>7</v>
      </c>
      <c r="F10" t="s">
        <v>18</v>
      </c>
      <c r="G10" s="6">
        <f t="shared" si="2"/>
        <v>5377.6915465312941</v>
      </c>
      <c r="H10" s="6">
        <f t="shared" si="3"/>
        <v>190922.14037354183</v>
      </c>
      <c r="I10" s="6">
        <f t="shared" si="5"/>
        <v>196299.83192007313</v>
      </c>
      <c r="J10" s="6">
        <f t="shared" si="4"/>
        <v>98173.795188618271</v>
      </c>
      <c r="L10" s="7">
        <f t="shared" si="0"/>
        <v>170890.81673822014</v>
      </c>
    </row>
    <row r="11" spans="2:13" x14ac:dyDescent="0.25">
      <c r="E11" s="5">
        <f t="shared" si="1"/>
        <v>8</v>
      </c>
      <c r="F11" t="s">
        <v>19</v>
      </c>
      <c r="G11" s="6">
        <f t="shared" si="2"/>
        <v>1826.2048113893668</v>
      </c>
      <c r="H11" s="6">
        <f t="shared" si="3"/>
        <v>98173.795188610631</v>
      </c>
      <c r="I11" s="6">
        <v>100000</v>
      </c>
      <c r="J11" s="6">
        <f t="shared" si="4"/>
        <v>7.6397554948925972E-9</v>
      </c>
      <c r="L11" s="7">
        <f t="shared" si="0"/>
        <v>85349.037119011162</v>
      </c>
    </row>
    <row r="12" spans="2:13" x14ac:dyDescent="0.25">
      <c r="B12" t="s">
        <v>22</v>
      </c>
      <c r="C12" s="13">
        <f>(C10*(C7-C14))/(1-((1+C14)/(1+C7))^5)</f>
        <v>188640.28010047082</v>
      </c>
    </row>
    <row r="13" spans="2:13" x14ac:dyDescent="0.25">
      <c r="H13" s="6">
        <f>SUM(H4:H12)</f>
        <v>999999.99999999243</v>
      </c>
      <c r="I13" s="6">
        <f>SUM(I4:I12)</f>
        <v>1099458.5223701363</v>
      </c>
      <c r="L13" s="11">
        <f>SUM(L4:L12)</f>
        <v>993007.79763702897</v>
      </c>
    </row>
    <row r="14" spans="2:13" x14ac:dyDescent="0.25">
      <c r="B14" t="s">
        <v>24</v>
      </c>
      <c r="C14" s="10">
        <v>0.01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Gracia Parcial</vt:lpstr>
      <vt:lpstr>Gracia Total </vt:lpstr>
      <vt:lpstr>Gracia Parcial con 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salaspr</dc:creator>
  <cp:lastModifiedBy>salaspr</cp:lastModifiedBy>
  <dcterms:created xsi:type="dcterms:W3CDTF">2025-09-09T15:22:36Z</dcterms:created>
  <dcterms:modified xsi:type="dcterms:W3CDTF">2025-09-09T17:06:06Z</dcterms:modified>
</cp:coreProperties>
</file>