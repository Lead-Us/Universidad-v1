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ropbox\Universidad\UAI\Finanzas\2025 - 2\"/>
    </mc:Choice>
  </mc:AlternateContent>
  <xr:revisionPtr revIDLastSave="0" documentId="8_{EDC685FF-D4F9-4C44-A349-80789F1CD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uesta P1" sheetId="1" r:id="rId1"/>
    <sheet name="Propuesta P2" sheetId="4" r:id="rId2"/>
    <sheet name="Propuesta P3" sheetId="5" r:id="rId3"/>
  </sheets>
  <calcPr calcId="191029"/>
</workbook>
</file>

<file path=xl/calcChain.xml><?xml version="1.0" encoding="utf-8"?>
<calcChain xmlns="http://schemas.openxmlformats.org/spreadsheetml/2006/main">
  <c r="C27" i="4" l="1"/>
  <c r="J22" i="4"/>
  <c r="I22" i="4"/>
  <c r="H22" i="4"/>
  <c r="E22" i="4"/>
  <c r="D22" i="4"/>
  <c r="C22" i="4"/>
  <c r="I21" i="4"/>
  <c r="J21" i="4"/>
  <c r="D18" i="4"/>
  <c r="E18" i="4"/>
  <c r="F18" i="4"/>
  <c r="G18" i="4"/>
  <c r="H18" i="4"/>
  <c r="I18" i="4"/>
  <c r="J18" i="4"/>
  <c r="C18" i="4"/>
  <c r="J16" i="4"/>
  <c r="I16" i="4"/>
  <c r="H16" i="4"/>
  <c r="C22" i="1"/>
  <c r="C25" i="1" s="1"/>
  <c r="C28" i="1" s="1"/>
  <c r="D25" i="1"/>
  <c r="E25" i="1"/>
  <c r="F25" i="1"/>
  <c r="G25" i="1"/>
  <c r="H25" i="1"/>
  <c r="I25" i="1"/>
  <c r="J25" i="1"/>
  <c r="D19" i="1"/>
  <c r="E19" i="1"/>
  <c r="F19" i="1"/>
  <c r="G19" i="1"/>
  <c r="H19" i="1"/>
  <c r="I19" i="1"/>
  <c r="J19" i="1"/>
  <c r="C19" i="1"/>
  <c r="C9" i="1"/>
  <c r="D9" i="1"/>
  <c r="E9" i="1"/>
  <c r="F9" i="1"/>
  <c r="G9" i="1"/>
  <c r="H9" i="1"/>
  <c r="I9" i="1"/>
  <c r="J9" i="1"/>
  <c r="B9" i="1"/>
  <c r="J17" i="1"/>
  <c r="I17" i="1"/>
  <c r="H17" i="1"/>
  <c r="J20" i="5"/>
  <c r="D20" i="5"/>
  <c r="E20" i="5"/>
  <c r="F20" i="5"/>
  <c r="G20" i="5"/>
  <c r="H20" i="5"/>
  <c r="I20" i="5"/>
  <c r="C20" i="5"/>
  <c r="F10" i="5"/>
  <c r="J10" i="5"/>
  <c r="C10" i="5"/>
  <c r="D10" i="5"/>
  <c r="E10" i="5"/>
  <c r="G10" i="5"/>
  <c r="H10" i="5"/>
  <c r="I10" i="5"/>
  <c r="B10" i="5"/>
  <c r="I24" i="5"/>
  <c r="H24" i="5"/>
  <c r="G24" i="5"/>
  <c r="E24" i="5"/>
  <c r="D24" i="5"/>
  <c r="C24" i="5"/>
  <c r="N16" i="5"/>
  <c r="S53" i="5"/>
  <c r="S51" i="5"/>
  <c r="I17" i="5"/>
  <c r="H17" i="5"/>
  <c r="G17" i="5"/>
  <c r="F7" i="5"/>
  <c r="F8" i="5"/>
  <c r="P23" i="5"/>
  <c r="S41" i="5" l="1"/>
  <c r="S44" i="5" s="1"/>
  <c r="S47" i="5" s="1"/>
  <c r="T47" i="5" l="1"/>
  <c r="U47" i="5" s="1"/>
  <c r="S49" i="5" s="1"/>
  <c r="S50" i="5" s="1"/>
  <c r="T2" i="5"/>
  <c r="T1" i="5"/>
  <c r="G16" i="5"/>
  <c r="V35" i="5"/>
  <c r="H16" i="5" s="1"/>
  <c r="S12" i="5"/>
  <c r="O31" i="5"/>
  <c r="M32" i="5" s="1"/>
  <c r="N29" i="5"/>
  <c r="F5" i="5" s="1"/>
  <c r="V24" i="5"/>
  <c r="C16" i="5" s="1"/>
  <c r="F24" i="5"/>
  <c r="B23" i="5"/>
  <c r="B24" i="5" s="1"/>
  <c r="B20" i="5"/>
  <c r="B21" i="5" s="1"/>
  <c r="M8" i="5"/>
  <c r="B6" i="5"/>
  <c r="N2" i="5"/>
  <c r="B2" i="5"/>
  <c r="V23" i="4"/>
  <c r="V24" i="4" s="1"/>
  <c r="S11" i="4"/>
  <c r="O30" i="4"/>
  <c r="M31" i="4" s="1"/>
  <c r="M32" i="4" s="1"/>
  <c r="N28" i="4"/>
  <c r="G22" i="4"/>
  <c r="F22" i="4"/>
  <c r="B21" i="4"/>
  <c r="B22" i="4" s="1"/>
  <c r="B24" i="4" s="1"/>
  <c r="B19" i="4"/>
  <c r="B18" i="4"/>
  <c r="M8" i="4"/>
  <c r="B6" i="4"/>
  <c r="J5" i="4"/>
  <c r="I5" i="4"/>
  <c r="H5" i="4"/>
  <c r="G5" i="4"/>
  <c r="F5" i="4"/>
  <c r="E5" i="4"/>
  <c r="D5" i="4"/>
  <c r="C5" i="4"/>
  <c r="G4" i="4"/>
  <c r="N2" i="4"/>
  <c r="N11" i="4" s="1"/>
  <c r="N12" i="4" s="1"/>
  <c r="N13" i="4" s="1"/>
  <c r="N15" i="4" s="1"/>
  <c r="J3" i="4" s="1"/>
  <c r="B2" i="4"/>
  <c r="B8" i="4" s="1"/>
  <c r="T1" i="4"/>
  <c r="T2" i="4" s="1"/>
  <c r="B25" i="1"/>
  <c r="G23" i="1"/>
  <c r="F23" i="1"/>
  <c r="E23" i="1"/>
  <c r="D23" i="1"/>
  <c r="C23" i="1"/>
  <c r="B22" i="1"/>
  <c r="B23" i="1" s="1"/>
  <c r="G15" i="1"/>
  <c r="B19" i="1"/>
  <c r="B20" i="1" s="1"/>
  <c r="E15" i="1"/>
  <c r="F15" i="1"/>
  <c r="J15" i="1"/>
  <c r="I15" i="1"/>
  <c r="H15" i="1"/>
  <c r="D15" i="1"/>
  <c r="C15" i="1"/>
  <c r="S14" i="1"/>
  <c r="C14" i="1" s="1"/>
  <c r="S12" i="1"/>
  <c r="T3" i="1"/>
  <c r="S15" i="1" s="1"/>
  <c r="D14" i="1" s="1"/>
  <c r="T2" i="1"/>
  <c r="C13" i="1" s="1"/>
  <c r="G5" i="1"/>
  <c r="B7" i="1"/>
  <c r="J6" i="1"/>
  <c r="G6" i="1"/>
  <c r="E6" i="1"/>
  <c r="C6" i="1"/>
  <c r="N29" i="1"/>
  <c r="I6" i="1" s="1"/>
  <c r="B3" i="1"/>
  <c r="B28" i="1" s="1"/>
  <c r="B29" i="1" s="1"/>
  <c r="O31" i="1"/>
  <c r="M32" i="1" s="1"/>
  <c r="M9" i="1"/>
  <c r="N3" i="1"/>
  <c r="N12" i="1" s="1"/>
  <c r="N13" i="1" s="1"/>
  <c r="N14" i="1" s="1"/>
  <c r="N16" i="1" s="1"/>
  <c r="J4" i="1" s="1"/>
  <c r="V25" i="4" l="1"/>
  <c r="D14" i="4"/>
  <c r="D13" i="1"/>
  <c r="D6" i="1"/>
  <c r="T4" i="1"/>
  <c r="N5" i="4"/>
  <c r="D15" i="4" s="1"/>
  <c r="N12" i="5"/>
  <c r="N5" i="5"/>
  <c r="N8" i="5" s="1"/>
  <c r="F6" i="1"/>
  <c r="S13" i="4"/>
  <c r="C13" i="4" s="1"/>
  <c r="H6" i="1"/>
  <c r="C14" i="4"/>
  <c r="C12" i="4"/>
  <c r="V36" i="5"/>
  <c r="M33" i="5"/>
  <c r="M34" i="5" s="1"/>
  <c r="N34" i="5" s="1"/>
  <c r="E6" i="5" s="1"/>
  <c r="N32" i="5"/>
  <c r="C6" i="5" s="1"/>
  <c r="S14" i="5"/>
  <c r="C15" i="5" s="1"/>
  <c r="I5" i="5"/>
  <c r="J5" i="5"/>
  <c r="S15" i="5"/>
  <c r="D15" i="5" s="1"/>
  <c r="D14" i="5"/>
  <c r="T3" i="5"/>
  <c r="C5" i="5"/>
  <c r="G5" i="5"/>
  <c r="H5" i="5"/>
  <c r="C14" i="5"/>
  <c r="V25" i="5"/>
  <c r="E5" i="5"/>
  <c r="B26" i="5"/>
  <c r="D5" i="5"/>
  <c r="N8" i="4"/>
  <c r="O8" i="4" s="1"/>
  <c r="P8" i="4" s="1"/>
  <c r="N32" i="4"/>
  <c r="D6" i="4" s="1"/>
  <c r="D8" i="4" s="1"/>
  <c r="M33" i="4"/>
  <c r="B27" i="4"/>
  <c r="B28" i="4" s="1"/>
  <c r="S14" i="4"/>
  <c r="D13" i="4" s="1"/>
  <c r="D12" i="4"/>
  <c r="T3" i="4"/>
  <c r="E15" i="4"/>
  <c r="N31" i="4"/>
  <c r="C15" i="4"/>
  <c r="N32" i="1"/>
  <c r="C7" i="1" s="1"/>
  <c r="M33" i="1"/>
  <c r="N33" i="1" s="1"/>
  <c r="D7" i="1" s="1"/>
  <c r="N6" i="1"/>
  <c r="C6" i="4" l="1"/>
  <c r="C8" i="4" s="1"/>
  <c r="N9" i="1"/>
  <c r="O9" i="1" s="1"/>
  <c r="P9" i="1" s="1"/>
  <c r="C16" i="1"/>
  <c r="E16" i="1"/>
  <c r="D16" i="1"/>
  <c r="N13" i="5"/>
  <c r="N14" i="5" s="1"/>
  <c r="C17" i="5"/>
  <c r="S16" i="1"/>
  <c r="E14" i="1" s="1"/>
  <c r="T5" i="1"/>
  <c r="E13" i="1"/>
  <c r="E14" i="4"/>
  <c r="V26" i="4"/>
  <c r="M35" i="5"/>
  <c r="M36" i="5" s="1"/>
  <c r="B29" i="5"/>
  <c r="B30" i="5" s="1"/>
  <c r="I16" i="5"/>
  <c r="V37" i="5"/>
  <c r="J16" i="5" s="1"/>
  <c r="N33" i="5"/>
  <c r="D6" i="5" s="1"/>
  <c r="E17" i="5"/>
  <c r="O8" i="5"/>
  <c r="P8" i="5" s="1"/>
  <c r="P24" i="5" s="1"/>
  <c r="D17" i="5"/>
  <c r="E14" i="5"/>
  <c r="S16" i="5"/>
  <c r="E15" i="5" s="1"/>
  <c r="T4" i="5"/>
  <c r="D16" i="5"/>
  <c r="V26" i="5"/>
  <c r="D19" i="4"/>
  <c r="D21" i="4" s="1"/>
  <c r="D24" i="4" s="1"/>
  <c r="D27" i="4" s="1"/>
  <c r="D28" i="4" s="1"/>
  <c r="C19" i="4"/>
  <c r="C21" i="4" s="1"/>
  <c r="C24" i="4" s="1"/>
  <c r="T4" i="4"/>
  <c r="F12" i="4" s="1"/>
  <c r="E12" i="4"/>
  <c r="S15" i="4"/>
  <c r="E13" i="4" s="1"/>
  <c r="N33" i="4"/>
  <c r="E6" i="4" s="1"/>
  <c r="E8" i="4" s="1"/>
  <c r="M34" i="4"/>
  <c r="M34" i="1"/>
  <c r="M35" i="1" s="1"/>
  <c r="C28" i="4" l="1"/>
  <c r="D20" i="1"/>
  <c r="D22" i="1" s="1"/>
  <c r="D28" i="1" s="1"/>
  <c r="D29" i="1" s="1"/>
  <c r="N35" i="5"/>
  <c r="F6" i="5" s="1"/>
  <c r="S17" i="1"/>
  <c r="F14" i="1" s="1"/>
  <c r="T6" i="1"/>
  <c r="F13" i="1"/>
  <c r="C20" i="1"/>
  <c r="C29" i="1" s="1"/>
  <c r="V27" i="4"/>
  <c r="F14" i="4"/>
  <c r="D21" i="5"/>
  <c r="M37" i="5"/>
  <c r="N36" i="5"/>
  <c r="G6" i="5" s="1"/>
  <c r="V27" i="5"/>
  <c r="E16" i="5"/>
  <c r="C21" i="5"/>
  <c r="C23" i="5" s="1"/>
  <c r="C26" i="5" s="1"/>
  <c r="C29" i="5" s="1"/>
  <c r="C30" i="5" s="1"/>
  <c r="S17" i="5"/>
  <c r="F15" i="5" s="1"/>
  <c r="T5" i="5"/>
  <c r="F14" i="5"/>
  <c r="E19" i="4"/>
  <c r="E21" i="4" s="1"/>
  <c r="E24" i="4" s="1"/>
  <c r="E27" i="4" s="1"/>
  <c r="E28" i="4" s="1"/>
  <c r="S16" i="4"/>
  <c r="F13" i="4" s="1"/>
  <c r="T5" i="4"/>
  <c r="M35" i="4"/>
  <c r="N34" i="4"/>
  <c r="F6" i="4" s="1"/>
  <c r="F8" i="4" s="1"/>
  <c r="N34" i="1"/>
  <c r="E7" i="1" s="1"/>
  <c r="M36" i="1"/>
  <c r="N35" i="1"/>
  <c r="F7" i="1" s="1"/>
  <c r="F20" i="1" l="1"/>
  <c r="F22" i="1" s="1"/>
  <c r="F28" i="1" s="1"/>
  <c r="F29" i="1" s="1"/>
  <c r="S18" i="1"/>
  <c r="G14" i="1" s="1"/>
  <c r="T7" i="1"/>
  <c r="G13" i="1"/>
  <c r="E20" i="1"/>
  <c r="E22" i="1" s="1"/>
  <c r="E28" i="1" s="1"/>
  <c r="E29" i="1" s="1"/>
  <c r="V28" i="4"/>
  <c r="G14" i="4"/>
  <c r="D23" i="5"/>
  <c r="D26" i="5" s="1"/>
  <c r="D29" i="5" s="1"/>
  <c r="D30" i="5" s="1"/>
  <c r="E21" i="5"/>
  <c r="E23" i="5" s="1"/>
  <c r="E26" i="5" s="1"/>
  <c r="E29" i="5" s="1"/>
  <c r="E30" i="5" s="1"/>
  <c r="T6" i="5"/>
  <c r="S18" i="5"/>
  <c r="G15" i="5" s="1"/>
  <c r="G14" i="5"/>
  <c r="M38" i="5"/>
  <c r="N37" i="5"/>
  <c r="H6" i="5" s="1"/>
  <c r="F16" i="5"/>
  <c r="M36" i="4"/>
  <c r="N35" i="4"/>
  <c r="G6" i="4" s="1"/>
  <c r="G8" i="4" s="1"/>
  <c r="F19" i="4"/>
  <c r="F21" i="4" s="1"/>
  <c r="F24" i="4" s="1"/>
  <c r="F27" i="4" s="1"/>
  <c r="F28" i="4" s="1"/>
  <c r="S17" i="4"/>
  <c r="G13" i="4" s="1"/>
  <c r="G12" i="4"/>
  <c r="T6" i="4"/>
  <c r="M37" i="1"/>
  <c r="N36" i="1"/>
  <c r="G7" i="1" s="1"/>
  <c r="H13" i="1" l="1"/>
  <c r="T8" i="1"/>
  <c r="S19" i="1"/>
  <c r="H14" i="1" s="1"/>
  <c r="V29" i="4"/>
  <c r="H14" i="4"/>
  <c r="G20" i="1"/>
  <c r="G22" i="1"/>
  <c r="G28" i="1" s="1"/>
  <c r="G29" i="1" s="1"/>
  <c r="F21" i="5"/>
  <c r="F23" i="5" s="1"/>
  <c r="F26" i="5" s="1"/>
  <c r="F29" i="5" s="1"/>
  <c r="F30" i="5" s="1"/>
  <c r="N39" i="5"/>
  <c r="J6" i="5" s="1"/>
  <c r="N38" i="5"/>
  <c r="I6" i="5" s="1"/>
  <c r="H14" i="5"/>
  <c r="S19" i="5"/>
  <c r="H15" i="5" s="1"/>
  <c r="T7" i="5"/>
  <c r="H12" i="4"/>
  <c r="S18" i="4"/>
  <c r="H13" i="4" s="1"/>
  <c r="T7" i="4"/>
  <c r="G19" i="4"/>
  <c r="G21" i="4" s="1"/>
  <c r="G24" i="4" s="1"/>
  <c r="G27" i="4" s="1"/>
  <c r="G28" i="4" s="1"/>
  <c r="N36" i="4"/>
  <c r="H6" i="4" s="1"/>
  <c r="H8" i="4" s="1"/>
  <c r="M37" i="4"/>
  <c r="M38" i="1"/>
  <c r="N37" i="1"/>
  <c r="H7" i="1" s="1"/>
  <c r="V30" i="4" l="1"/>
  <c r="J14" i="4" s="1"/>
  <c r="I14" i="4"/>
  <c r="T9" i="1"/>
  <c r="I13" i="1"/>
  <c r="S20" i="1"/>
  <c r="I14" i="1" s="1"/>
  <c r="G21" i="5"/>
  <c r="G23" i="5" s="1"/>
  <c r="G26" i="5" s="1"/>
  <c r="G29" i="5" s="1"/>
  <c r="G30" i="5" s="1"/>
  <c r="I14" i="5"/>
  <c r="T8" i="5"/>
  <c r="S20" i="5"/>
  <c r="I15" i="5" s="1"/>
  <c r="T8" i="4"/>
  <c r="I12" i="4"/>
  <c r="S19" i="4"/>
  <c r="I13" i="4" s="1"/>
  <c r="N38" i="4"/>
  <c r="J6" i="4" s="1"/>
  <c r="J8" i="4" s="1"/>
  <c r="N37" i="4"/>
  <c r="I6" i="4" s="1"/>
  <c r="I8" i="4" s="1"/>
  <c r="N38" i="1"/>
  <c r="I7" i="1" s="1"/>
  <c r="N39" i="1"/>
  <c r="J7" i="1" s="1"/>
  <c r="H20" i="1" l="1"/>
  <c r="H22" i="1" s="1"/>
  <c r="H28" i="1" s="1"/>
  <c r="H29" i="1" s="1"/>
  <c r="J13" i="1"/>
  <c r="S21" i="1"/>
  <c r="J14" i="1" s="1"/>
  <c r="H21" i="5"/>
  <c r="H23" i="5" s="1"/>
  <c r="H26" i="5" s="1"/>
  <c r="H29" i="5" s="1"/>
  <c r="H30" i="5" s="1"/>
  <c r="J14" i="5"/>
  <c r="S21" i="5"/>
  <c r="J15" i="5" s="1"/>
  <c r="H19" i="4"/>
  <c r="H21" i="4" s="1"/>
  <c r="H24" i="4" s="1"/>
  <c r="H27" i="4" s="1"/>
  <c r="H28" i="4" s="1"/>
  <c r="S20" i="4"/>
  <c r="J13" i="4" s="1"/>
  <c r="J12" i="4"/>
  <c r="I20" i="1" l="1"/>
  <c r="I22" i="1" s="1"/>
  <c r="I28" i="1" s="1"/>
  <c r="I29" i="1" s="1"/>
  <c r="I21" i="5"/>
  <c r="I23" i="5" s="1"/>
  <c r="I26" i="5" s="1"/>
  <c r="I29" i="5" s="1"/>
  <c r="I30" i="5" s="1"/>
  <c r="I19" i="4"/>
  <c r="I24" i="4" s="1"/>
  <c r="I27" i="4" s="1"/>
  <c r="I28" i="4" s="1"/>
  <c r="J20" i="1" l="1"/>
  <c r="J22" i="1" s="1"/>
  <c r="J28" i="1" s="1"/>
  <c r="J29" i="1" s="1"/>
  <c r="B31" i="1" s="1"/>
  <c r="J21" i="5"/>
  <c r="J23" i="5" s="1"/>
  <c r="J26" i="5" s="1"/>
  <c r="J29" i="5" s="1"/>
  <c r="J30" i="5" s="1"/>
  <c r="B32" i="5" s="1"/>
  <c r="J19" i="4"/>
  <c r="J24" i="4" s="1"/>
  <c r="J27" i="4" s="1"/>
  <c r="J28" i="4" s="1"/>
  <c r="B30" i="4" s="1"/>
  <c r="J9" i="5"/>
</calcChain>
</file>

<file path=xl/sharedStrings.xml><?xml version="1.0" encoding="utf-8"?>
<sst xmlns="http://schemas.openxmlformats.org/spreadsheetml/2006/main" count="329" uniqueCount="103">
  <si>
    <t>FLUJO DE INVERSIÓN OPCIÓN 1</t>
  </si>
  <si>
    <t>X</t>
  </si>
  <si>
    <t>PERÍODO 1</t>
  </si>
  <si>
    <t>PERÍODO 2</t>
  </si>
  <si>
    <t>PERÍODO 3</t>
  </si>
  <si>
    <t>PERÍODO 4</t>
  </si>
  <si>
    <t>PERÍODO 5</t>
  </si>
  <si>
    <t>PERÍODO 6</t>
  </si>
  <si>
    <t>PERÍODO 7</t>
  </si>
  <si>
    <t>PERÍODO 8</t>
  </si>
  <si>
    <t>Inversión máquina</t>
  </si>
  <si>
    <t>venta máquina</t>
  </si>
  <si>
    <t>acondicionamiento</t>
  </si>
  <si>
    <t>costo de oportunidad</t>
  </si>
  <si>
    <t>capital de trabajo</t>
  </si>
  <si>
    <t>Flujo de inversión</t>
  </si>
  <si>
    <t>Costo inicial máquina</t>
  </si>
  <si>
    <t>Valor residual (10%)</t>
  </si>
  <si>
    <t>Períodos de depreciación</t>
  </si>
  <si>
    <t>años</t>
  </si>
  <si>
    <t>Depreciación</t>
  </si>
  <si>
    <t>Valor libro 1</t>
  </si>
  <si>
    <t>Valor libro 0</t>
  </si>
  <si>
    <t>Valor libro 2</t>
  </si>
  <si>
    <t>Valor libro 3</t>
  </si>
  <si>
    <t>Valor venta estimado</t>
  </si>
  <si>
    <t>Valor libro máquina</t>
  </si>
  <si>
    <t>Utilidad por venta</t>
  </si>
  <si>
    <t>Utilidad despues de impuestos (-15%)</t>
  </si>
  <si>
    <t>Valor venta final</t>
  </si>
  <si>
    <t>DATOS DADOS</t>
  </si>
  <si>
    <t>Acondicionamiento</t>
  </si>
  <si>
    <t>Costo de oportunidad (arriendo bodega)</t>
  </si>
  <si>
    <t>Impuestos</t>
  </si>
  <si>
    <t>Arriendo después de impuestos</t>
  </si>
  <si>
    <t>Arriendo antes de impuestos</t>
  </si>
  <si>
    <t>Capital de trabajo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</si>
  <si>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</si>
  <si>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</si>
  <si>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</si>
  <si>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</si>
  <si>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</si>
  <si>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</si>
  <si>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</si>
  <si>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</si>
  <si>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Crecimiento capital (1%)</t>
  </si>
  <si>
    <t>Capital (12.5% de las ventas)</t>
  </si>
  <si>
    <t>Se recupera capital</t>
  </si>
  <si>
    <t>PERÍODO 0</t>
  </si>
  <si>
    <t>FLUJO DE OPERACIONES OPCIÓN 1</t>
  </si>
  <si>
    <t>Ingreso por venta</t>
  </si>
  <si>
    <t>Costos de producción</t>
  </si>
  <si>
    <t>Costos por mantención</t>
  </si>
  <si>
    <t>Gastos por depreciación</t>
  </si>
  <si>
    <t>Gatos por acondicionamiento</t>
  </si>
  <si>
    <t>Ingreso por ventas</t>
  </si>
  <si>
    <t>Cantidad</t>
  </si>
  <si>
    <t>Crecimiento (1%)</t>
  </si>
  <si>
    <t>Período 1</t>
  </si>
  <si>
    <t>Período 2</t>
  </si>
  <si>
    <t>Período 3</t>
  </si>
  <si>
    <t>Período 4</t>
  </si>
  <si>
    <t>Período 5</t>
  </si>
  <si>
    <t>Período 6</t>
  </si>
  <si>
    <t>Período 7</t>
  </si>
  <si>
    <t>Período 8</t>
  </si>
  <si>
    <t>Margen (30%)</t>
  </si>
  <si>
    <t>Mantención</t>
  </si>
  <si>
    <t>Mantención (últimos 3 años)</t>
  </si>
  <si>
    <t>Flujo de operaciones antes de impuestos</t>
  </si>
  <si>
    <t>TAX (-15%)</t>
  </si>
  <si>
    <t>Utilidad neta operacional</t>
  </si>
  <si>
    <t xml:space="preserve">Depreciación (+)  </t>
  </si>
  <si>
    <t>Flujo operacional</t>
  </si>
  <si>
    <t>Flujo total (IN+OP)</t>
  </si>
  <si>
    <t>VPN (8%)</t>
  </si>
  <si>
    <t>Tasa de descuento</t>
  </si>
  <si>
    <t>VPN TOTAL PROYECTO</t>
  </si>
  <si>
    <t>Crecimiento capital (2%)</t>
  </si>
  <si>
    <t>Margen (33%)</t>
  </si>
  <si>
    <t>Mantención (+100)</t>
  </si>
  <si>
    <t>Crecimiento (2%)</t>
  </si>
  <si>
    <t>Mantención (+60)</t>
  </si>
  <si>
    <t>Margen (35%)</t>
  </si>
  <si>
    <t>Crecimiento (3%)</t>
  </si>
  <si>
    <t>Compra nueva máquina</t>
  </si>
  <si>
    <t>Compra de nueva máquina</t>
  </si>
  <si>
    <t>Utilidad por parte pago</t>
  </si>
  <si>
    <t>DATOS NUEVA MÁQUINA</t>
  </si>
  <si>
    <t>Mantención (+50)</t>
  </si>
  <si>
    <t>Precio por tonelada</t>
  </si>
  <si>
    <t>Venta máquina (valor estimado)</t>
  </si>
  <si>
    <t>Ventamáquina 2</t>
  </si>
  <si>
    <t>Valor inicial nueva máquina</t>
  </si>
  <si>
    <t>Valor libro 5</t>
  </si>
  <si>
    <t>Valor libro 6</t>
  </si>
  <si>
    <t>Valor libro 7</t>
  </si>
  <si>
    <t>Valor libro 4</t>
  </si>
  <si>
    <t>Utilidad después de impuestos (-15%)</t>
  </si>
  <si>
    <t>Valor venta máquina 2</t>
  </si>
  <si>
    <t>Parte pago (900)</t>
  </si>
  <si>
    <t>Cambio máquina 1</t>
  </si>
  <si>
    <t>Venta por parte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</si>
</sst>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164" formatCode="_(&quot;$&quot;* #,##0.00_);_(&quot;$&quot;* \(#,##0.00\);_(&quot;$&quot;* &quot;-&quot;??_);_(@_)"/>
    <numFmt numFmtId="165" formatCode="_ [$$-340A]* #,##0.00_ ;_ [$$-340A]* \-#,##0.00_ ;_ [$$-340A]* &quot;-&quot;??_ ;_ @_ "/>
    <numFmt numFmtId="166" formatCode="0.0%"/>
    <numFmt numFmtId="167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8">
    <xf numFmtId="0" fontId="0" fillId="0" borderId="0" xfId="0"/>
    <xf numFmtId="165" fontId="0" fillId="0" borderId="0" xfId="0" applyNumberFormat="1" applyAlignment="1">
      <alignment vertical="center"/>
    </xf>
    <xf numFmtId="165" fontId="0" fillId="0" borderId="0" xfId="0" applyNumberFormat="1"/>
    <xf numFmtId="164" fontId="0" fillId="0" borderId="0" xfId="1" applyFont="1"/>
    <xf numFmtId="164" fontId="0" fillId="0" borderId="0" xfId="0" applyNumberFormat="1"/>
    <xf numFmtId="9" fontId="0" fillId="0" borderId="0" xfId="0" applyNumberFormat="1"/>
    <xf numFmtId="166" fontId="0" fillId="0" borderId="0" xfId="0" applyNumberFormat="1"/>
    <xf numFmtId="2" fontId="0" fillId="0" borderId="0" xfId="2" applyNumberFormat="1" applyFont="1"/>
    <xf numFmtId="2" fontId="0" fillId="0" borderId="0" xfId="0" applyNumberFormat="1"/>
    <xf numFmtId="165" fontId="0" fillId="0" borderId="0" xfId="1" applyNumberFormat="1" applyFont="1"/>
    <xf numFmtId="167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0" fillId="3" borderId="0" xfId="0" applyFill="1" applyAlignment="1">
      <alignment wrapText="1"/>
    </xf>
    <xf numFmtId="0" fontId="2" fillId="5" borderId="0" xfId="0" applyFont="1" applyFill="1"/>
    <xf numFmtId="167" fontId="0" fillId="0" borderId="0" xfId="2" applyNumberFormat="1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167" fontId="0" fillId="0" borderId="0" xfId="1" applyNumberFormat="1" applyFont="1"/>
    <xf numFmtId="0" fontId="0" fillId="8" borderId="0" xfId="0" applyFill="1"/>
    <xf numFmtId="0" fontId="2" fillId="0" borderId="0" xfId="0" applyFont="1"/>
    <xf numFmtId="42" fontId="0" fillId="0" borderId="0" xfId="3" applyFont="1"/>
    <xf numFmtId="42" fontId="0" fillId="0" borderId="0" xfId="0" applyNumberFormat="1"/>
  </cellXfs>
  <cellStyles count="4">
    <cellStyle name="Moneda" xfId="1" builtinId="4"/>
    <cellStyle name="Moneda [0]" xfId="3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zoomScale="80" zoomScaleNormal="80" workbookViewId="0">
      <selection activeCell="B29" sqref="B29:J29"/>
    </sheetView>
  </sheetViews>
  <sheetFormatPr baseColWidth="10" defaultRowHeight="15" x14ac:dyDescent="0.25"/>
  <cols>
    <col min="1" max="1" width="29.42578125" bestFit="1" customWidth="1"/>
    <col min="2" max="2" width="19.140625" customWidth="1"/>
    <col min="3" max="5" width="13.28515625" bestFit="1" customWidth="1"/>
    <col min="6" max="6" width="13.42578125" customWidth="1"/>
    <col min="7" max="8" width="14.28515625" customWidth="1"/>
    <col min="9" max="9" width="14.85546875" customWidth="1"/>
    <col min="10" max="10" width="13.28515625" bestFit="1" customWidth="1"/>
    <col min="13" max="13" width="34.85546875" bestFit="1" customWidth="1"/>
    <col min="14" max="14" width="28.7109375" bestFit="1" customWidth="1"/>
    <col min="15" max="15" width="17.7109375" customWidth="1"/>
    <col min="16" max="16" width="18.5703125" customWidth="1"/>
    <col min="18" max="18" width="28.5703125" bestFit="1" customWidth="1"/>
    <col min="19" max="19" width="11.85546875" bestFit="1" customWidth="1"/>
    <col min="20" max="20" width="13.28515625" bestFit="1" customWidth="1"/>
  </cols>
  <sheetData>
    <row r="1" spans="1:21" x14ac:dyDescent="0.25">
      <c r="F1" t="s">
        <v>0</v>
      </c>
      <c r="S1" s="13" t="s">
        <v>56</v>
      </c>
    </row>
    <row r="2" spans="1:21" x14ac:dyDescent="0.25">
      <c r="A2" t="s">
        <v>1</v>
      </c>
      <c r="B2" s="11" t="s">
        <v>48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M2" s="11" t="s">
        <v>16</v>
      </c>
      <c r="N2" s="2">
        <v>5000</v>
      </c>
      <c r="R2" s="13" t="s">
        <v>55</v>
      </c>
      <c r="S2">
        <v>1000000</v>
      </c>
      <c r="T2" s="3">
        <f>S2*0.01</f>
        <v>10000</v>
      </c>
      <c r="U2" t="s">
        <v>58</v>
      </c>
    </row>
    <row r="3" spans="1:21" x14ac:dyDescent="0.25">
      <c r="A3" t="s">
        <v>10</v>
      </c>
      <c r="B3" s="2">
        <f>-N2</f>
        <v>-5000</v>
      </c>
      <c r="C3" s="1"/>
      <c r="M3" s="11" t="s">
        <v>17</v>
      </c>
      <c r="N3" s="3">
        <f>N2*0.1</f>
        <v>500</v>
      </c>
      <c r="R3" s="13" t="s">
        <v>57</v>
      </c>
      <c r="T3" s="3">
        <f>T2*R4</f>
        <v>10100</v>
      </c>
      <c r="U3" t="s">
        <v>59</v>
      </c>
    </row>
    <row r="4" spans="1:21" x14ac:dyDescent="0.25">
      <c r="A4" t="s">
        <v>11</v>
      </c>
      <c r="J4" s="3">
        <f>N16</f>
        <v>755</v>
      </c>
      <c r="M4" s="11" t="s">
        <v>18</v>
      </c>
      <c r="N4">
        <v>3</v>
      </c>
      <c r="O4" t="s">
        <v>19</v>
      </c>
      <c r="R4">
        <v>1.01</v>
      </c>
      <c r="T4" s="3">
        <f>T3*R4</f>
        <v>10201</v>
      </c>
      <c r="U4" t="s">
        <v>60</v>
      </c>
    </row>
    <row r="5" spans="1:21" x14ac:dyDescent="0.25">
      <c r="A5" t="s">
        <v>12</v>
      </c>
      <c r="G5" s="4">
        <f>-N19</f>
        <v>-750</v>
      </c>
      <c r="T5" s="3">
        <f>T4*R4</f>
        <v>10303.01</v>
      </c>
      <c r="U5" t="s">
        <v>61</v>
      </c>
    </row>
    <row r="6" spans="1:21" x14ac:dyDescent="0.25">
      <c r="A6" t="s">
        <v>13</v>
      </c>
      <c r="C6" s="4">
        <f>-N29</f>
        <v>-1275</v>
      </c>
      <c r="D6" s="4">
        <f>-N29</f>
        <v>-1275</v>
      </c>
      <c r="E6" s="4">
        <f>-N29</f>
        <v>-1275</v>
      </c>
      <c r="F6" s="4">
        <f>-N29</f>
        <v>-1275</v>
      </c>
      <c r="G6" s="4">
        <f>-N29</f>
        <v>-1275</v>
      </c>
      <c r="H6" s="4">
        <f>-N29</f>
        <v>-1275</v>
      </c>
      <c r="I6" s="4">
        <f>-N29</f>
        <v>-1275</v>
      </c>
      <c r="J6" s="4">
        <f>-N29</f>
        <v>-1275</v>
      </c>
      <c r="M6" s="11" t="s">
        <v>20</v>
      </c>
      <c r="N6" s="3">
        <f>(N2-N3)/N4</f>
        <v>1500</v>
      </c>
      <c r="T6" s="3">
        <f>T5*R4</f>
        <v>10406.0401</v>
      </c>
      <c r="U6" t="s">
        <v>62</v>
      </c>
    </row>
    <row r="7" spans="1:21" x14ac:dyDescent="0.25">
      <c r="A7" t="s">
        <v>14</v>
      </c>
      <c r="B7" s="3">
        <f>-N31</f>
        <v>-1000</v>
      </c>
      <c r="C7" s="3">
        <f>-N32</f>
        <v>-262.5</v>
      </c>
      <c r="D7" s="3">
        <f>-N33</f>
        <v>-12.625</v>
      </c>
      <c r="E7" s="3">
        <f>-N34</f>
        <v>-12.751250000000027</v>
      </c>
      <c r="F7" s="3">
        <f>-N35</f>
        <v>-12.878762499999993</v>
      </c>
      <c r="G7" s="3">
        <f>-N36</f>
        <v>-13.00755012500008</v>
      </c>
      <c r="H7" s="3">
        <f>-N37</f>
        <v>-13.137625626249928</v>
      </c>
      <c r="I7" s="3">
        <f>-N38</f>
        <v>-13.269001882512612</v>
      </c>
      <c r="J7" s="3">
        <f>N39</f>
        <v>1340.1691901337626</v>
      </c>
      <c r="T7" s="3">
        <f>T6*R4</f>
        <v>10510.100501000001</v>
      </c>
      <c r="U7" t="s">
        <v>63</v>
      </c>
    </row>
    <row r="8" spans="1:21" x14ac:dyDescent="0.25">
      <c r="M8" s="11" t="s">
        <v>22</v>
      </c>
      <c r="N8" s="11" t="s">
        <v>21</v>
      </c>
      <c r="O8" s="11" t="s">
        <v>23</v>
      </c>
      <c r="P8" s="11" t="s">
        <v>24</v>
      </c>
      <c r="T8" s="3">
        <f>T7*R4</f>
        <v>10615.20150601</v>
      </c>
      <c r="U8" t="s">
        <v>64</v>
      </c>
    </row>
    <row r="9" spans="1:21" x14ac:dyDescent="0.25">
      <c r="A9" s="12" t="s">
        <v>15</v>
      </c>
      <c r="B9" s="3">
        <f>SUM(B3:B7)</f>
        <v>-6000</v>
      </c>
      <c r="C9" s="3">
        <f t="shared" ref="C9:J9" si="0">SUM(C3:C7)</f>
        <v>-1537.5</v>
      </c>
      <c r="D9" s="3">
        <f t="shared" si="0"/>
        <v>-1287.625</v>
      </c>
      <c r="E9" s="3">
        <f t="shared" si="0"/>
        <v>-1287.75125</v>
      </c>
      <c r="F9" s="3">
        <f t="shared" si="0"/>
        <v>-1287.8787625</v>
      </c>
      <c r="G9" s="3">
        <f t="shared" si="0"/>
        <v>-2038.0075501250001</v>
      </c>
      <c r="H9" s="3">
        <f t="shared" si="0"/>
        <v>-1288.1376256262499</v>
      </c>
      <c r="I9" s="3">
        <f t="shared" si="0"/>
        <v>-1288.2690018825126</v>
      </c>
      <c r="J9" s="3">
        <f t="shared" si="0"/>
        <v>820.16919013376264</v>
      </c>
      <c r="M9" s="3">
        <f>N2</f>
        <v>5000</v>
      </c>
      <c r="N9" s="3">
        <f>N2-N6</f>
        <v>3500</v>
      </c>
      <c r="O9" s="3">
        <f>N9-N6</f>
        <v>2000</v>
      </c>
      <c r="P9">
        <f>O9-N6</f>
        <v>500</v>
      </c>
      <c r="T9" s="3">
        <f>T8*R4</f>
        <v>10721.353521070101</v>
      </c>
      <c r="U9" t="s">
        <v>65</v>
      </c>
    </row>
    <row r="11" spans="1:21" x14ac:dyDescent="0.25">
      <c r="F11" t="s">
        <v>49</v>
      </c>
      <c r="M11" s="11" t="s">
        <v>25</v>
      </c>
      <c r="N11" s="3">
        <v>800</v>
      </c>
      <c r="R11" s="13" t="s">
        <v>51</v>
      </c>
    </row>
    <row r="12" spans="1:21" x14ac:dyDescent="0.25">
      <c r="A12" t="s">
        <v>1</v>
      </c>
      <c r="B12" s="13" t="s">
        <v>48</v>
      </c>
      <c r="C12" s="13" t="s">
        <v>2</v>
      </c>
      <c r="D12" s="13" t="s">
        <v>3</v>
      </c>
      <c r="E12" s="13" t="s">
        <v>4</v>
      </c>
      <c r="F12" s="13" t="s">
        <v>5</v>
      </c>
      <c r="G12" s="13" t="s">
        <v>6</v>
      </c>
      <c r="H12" s="13" t="s">
        <v>7</v>
      </c>
      <c r="I12" s="13" t="s">
        <v>8</v>
      </c>
      <c r="J12" s="13" t="s">
        <v>9</v>
      </c>
      <c r="M12" s="11" t="s">
        <v>26</v>
      </c>
      <c r="N12" s="3">
        <f>N3</f>
        <v>500</v>
      </c>
      <c r="R12" s="13" t="s">
        <v>66</v>
      </c>
      <c r="S12" s="6">
        <f>100%-30%</f>
        <v>0.7</v>
      </c>
    </row>
    <row r="13" spans="1:21" x14ac:dyDescent="0.25">
      <c r="A13" t="s">
        <v>50</v>
      </c>
      <c r="C13" s="4">
        <f>T2</f>
        <v>10000</v>
      </c>
      <c r="D13" s="4">
        <f>T3</f>
        <v>10100</v>
      </c>
      <c r="E13" s="4">
        <f>T4</f>
        <v>10201</v>
      </c>
      <c r="F13" s="4">
        <f>T5</f>
        <v>10303.01</v>
      </c>
      <c r="G13" s="4">
        <f>T6</f>
        <v>10406.0401</v>
      </c>
      <c r="H13" s="4">
        <f>T7</f>
        <v>10510.100501000001</v>
      </c>
      <c r="I13" s="4">
        <f>T8</f>
        <v>10615.20150601</v>
      </c>
      <c r="J13" s="4">
        <f>T9</f>
        <v>10721.353521070101</v>
      </c>
      <c r="M13" s="11" t="s">
        <v>27</v>
      </c>
      <c r="N13" s="3">
        <f>N11-N12</f>
        <v>300</v>
      </c>
      <c r="R13" s="14"/>
    </row>
    <row r="14" spans="1:21" x14ac:dyDescent="0.25">
      <c r="A14" t="s">
        <v>51</v>
      </c>
      <c r="C14" s="4">
        <f>-S14</f>
        <v>-7000</v>
      </c>
      <c r="D14" s="4">
        <f>-S15</f>
        <v>-7070</v>
      </c>
      <c r="E14" s="4">
        <f>-S16</f>
        <v>-7140.7</v>
      </c>
      <c r="F14" s="4">
        <f>-S17</f>
        <v>-7212.107</v>
      </c>
      <c r="G14" s="4">
        <f>-S18</f>
        <v>-7284.2280699999992</v>
      </c>
      <c r="H14" s="4">
        <f>-S19</f>
        <v>-7357.0703506999998</v>
      </c>
      <c r="I14" s="4">
        <f>-S20</f>
        <v>-7430.6410542069998</v>
      </c>
      <c r="J14" s="4">
        <f>-S21</f>
        <v>-7504.9474647490706</v>
      </c>
      <c r="M14" s="11" t="s">
        <v>28</v>
      </c>
      <c r="N14" s="3">
        <f>N13*0.15</f>
        <v>45</v>
      </c>
      <c r="R14" s="13" t="s">
        <v>58</v>
      </c>
      <c r="S14" s="3">
        <f>T2*S12</f>
        <v>7000</v>
      </c>
    </row>
    <row r="15" spans="1:21" x14ac:dyDescent="0.25">
      <c r="A15" t="s">
        <v>52</v>
      </c>
      <c r="C15" s="3">
        <f>-S24</f>
        <v>-140</v>
      </c>
      <c r="D15" s="3">
        <f>-S24</f>
        <v>-140</v>
      </c>
      <c r="E15" s="3">
        <f>-S24</f>
        <v>-140</v>
      </c>
      <c r="F15" s="3">
        <f>-S24</f>
        <v>-140</v>
      </c>
      <c r="G15" s="3">
        <f>-S24</f>
        <v>-140</v>
      </c>
      <c r="H15" s="3">
        <f>-S25</f>
        <v>-280</v>
      </c>
      <c r="I15" s="3">
        <f>-S25</f>
        <v>-280</v>
      </c>
      <c r="J15" s="3">
        <f>-S25</f>
        <v>-280</v>
      </c>
      <c r="R15" s="13" t="s">
        <v>59</v>
      </c>
      <c r="S15" s="3">
        <f>T3*S12</f>
        <v>7070</v>
      </c>
    </row>
    <row r="16" spans="1:21" x14ac:dyDescent="0.25">
      <c r="A16" t="s">
        <v>53</v>
      </c>
      <c r="C16" s="4">
        <f>-N6</f>
        <v>-1500</v>
      </c>
      <c r="D16" s="4">
        <f>-N6</f>
        <v>-1500</v>
      </c>
      <c r="E16" s="4">
        <f>-N6</f>
        <v>-1500</v>
      </c>
      <c r="M16" s="11" t="s">
        <v>29</v>
      </c>
      <c r="N16" s="3">
        <f>N11-N14</f>
        <v>755</v>
      </c>
      <c r="R16" s="13" t="s">
        <v>60</v>
      </c>
      <c r="S16" s="3">
        <f>T4*S12</f>
        <v>7140.7</v>
      </c>
    </row>
    <row r="17" spans="1:19" x14ac:dyDescent="0.25">
      <c r="A17" t="s">
        <v>54</v>
      </c>
      <c r="H17" s="4">
        <f>+G5/3</f>
        <v>-250</v>
      </c>
      <c r="I17" s="4">
        <f>+H17</f>
        <v>-250</v>
      </c>
      <c r="J17" s="4">
        <f>+I17</f>
        <v>-250</v>
      </c>
      <c r="R17" s="13" t="s">
        <v>61</v>
      </c>
      <c r="S17" s="3">
        <f>T5*S12</f>
        <v>7212.107</v>
      </c>
    </row>
    <row r="18" spans="1:19" x14ac:dyDescent="0.25">
      <c r="M18" s="12" t="s">
        <v>30</v>
      </c>
      <c r="R18" s="13" t="s">
        <v>62</v>
      </c>
      <c r="S18" s="3">
        <f>T6*S12</f>
        <v>7284.2280699999992</v>
      </c>
    </row>
    <row r="19" spans="1:19" ht="30" x14ac:dyDescent="0.25">
      <c r="A19" s="16" t="s">
        <v>69</v>
      </c>
      <c r="B19" s="3">
        <f>SUM(B16:B17)</f>
        <v>0</v>
      </c>
      <c r="C19" s="4">
        <f>SUM(C13:C17)</f>
        <v>1360</v>
      </c>
      <c r="D19" s="4">
        <f t="shared" ref="D19:J19" si="1">SUM(D13:D17)</f>
        <v>1390</v>
      </c>
      <c r="E19" s="4">
        <f t="shared" si="1"/>
        <v>1420.3000000000002</v>
      </c>
      <c r="F19" s="4">
        <f t="shared" si="1"/>
        <v>2950.9030000000002</v>
      </c>
      <c r="G19" s="4">
        <f t="shared" si="1"/>
        <v>2981.812030000001</v>
      </c>
      <c r="H19" s="4">
        <f t="shared" si="1"/>
        <v>2623.030150300001</v>
      </c>
      <c r="I19" s="4">
        <f t="shared" si="1"/>
        <v>2654.5604518030004</v>
      </c>
      <c r="J19" s="4">
        <f t="shared" si="1"/>
        <v>2686.4060563210305</v>
      </c>
      <c r="M19" s="11" t="s">
        <v>31</v>
      </c>
      <c r="N19" s="3">
        <v>750</v>
      </c>
      <c r="R19" s="13" t="s">
        <v>63</v>
      </c>
      <c r="S19" s="3">
        <f>T7*S12</f>
        <v>7357.0703506999998</v>
      </c>
    </row>
    <row r="20" spans="1:19" x14ac:dyDescent="0.25">
      <c r="A20" s="13" t="s">
        <v>70</v>
      </c>
      <c r="B20" s="4">
        <f>B19*0.15</f>
        <v>0</v>
      </c>
      <c r="C20" s="4">
        <f t="shared" ref="C20:J20" si="2">-C19*0.15</f>
        <v>-204</v>
      </c>
      <c r="D20" s="3">
        <f t="shared" si="2"/>
        <v>-208.5</v>
      </c>
      <c r="E20" s="4">
        <f t="shared" si="2"/>
        <v>-213.04500000000002</v>
      </c>
      <c r="F20" s="4">
        <f t="shared" si="2"/>
        <v>-442.63545000000005</v>
      </c>
      <c r="G20" s="4">
        <f t="shared" si="2"/>
        <v>-447.27180450000014</v>
      </c>
      <c r="H20" s="4">
        <f t="shared" si="2"/>
        <v>-393.45452254500015</v>
      </c>
      <c r="I20" s="4">
        <f t="shared" si="2"/>
        <v>-398.18406777045004</v>
      </c>
      <c r="J20" s="4">
        <f t="shared" si="2"/>
        <v>-402.96090844815456</v>
      </c>
      <c r="M20" s="11" t="s">
        <v>33</v>
      </c>
      <c r="N20" s="5">
        <v>0.15</v>
      </c>
      <c r="R20" s="13" t="s">
        <v>64</v>
      </c>
      <c r="S20" s="3">
        <f>T8*S12</f>
        <v>7430.6410542069998</v>
      </c>
    </row>
    <row r="21" spans="1:19" x14ac:dyDescent="0.25">
      <c r="M21" s="11" t="s">
        <v>45</v>
      </c>
      <c r="N21" s="7">
        <v>0.01</v>
      </c>
      <c r="O21">
        <v>1.01</v>
      </c>
      <c r="R21" s="13" t="s">
        <v>65</v>
      </c>
      <c r="S21" s="3">
        <f>T9*S12</f>
        <v>7504.9474647490706</v>
      </c>
    </row>
    <row r="22" spans="1:19" x14ac:dyDescent="0.25">
      <c r="A22" s="15" t="s">
        <v>71</v>
      </c>
      <c r="B22" s="3">
        <f>B21</f>
        <v>0</v>
      </c>
      <c r="C22" s="4">
        <f>SUM(C19:C20)</f>
        <v>1156</v>
      </c>
      <c r="D22" s="4">
        <f>SUM(D19:D20)</f>
        <v>1181.5</v>
      </c>
      <c r="E22" s="4">
        <f>SUM(E19:E20)</f>
        <v>1207.2550000000001</v>
      </c>
      <c r="F22" s="4">
        <f>SUM(F19:F21)</f>
        <v>2508.26755</v>
      </c>
      <c r="G22" s="4">
        <f>SUM(G19:G21)</f>
        <v>2534.5402255000008</v>
      </c>
      <c r="H22" s="4">
        <f>SUM(H19:H21)</f>
        <v>2229.5756277550008</v>
      </c>
      <c r="I22" s="4">
        <f>SUM(I19:I20)</f>
        <v>2256.3763840325505</v>
      </c>
      <c r="J22" s="4">
        <f>SUM(J19:J21)</f>
        <v>2283.4451478728761</v>
      </c>
      <c r="M22" s="11" t="s">
        <v>46</v>
      </c>
      <c r="N22">
        <v>0.125</v>
      </c>
    </row>
    <row r="23" spans="1:19" x14ac:dyDescent="0.25">
      <c r="A23" s="13" t="s">
        <v>72</v>
      </c>
      <c r="B23" s="3">
        <f>B22</f>
        <v>0</v>
      </c>
      <c r="C23" s="4">
        <f>N27</f>
        <v>1500</v>
      </c>
      <c r="D23" s="4">
        <f>N27</f>
        <v>1500</v>
      </c>
      <c r="E23" s="4">
        <f>N27</f>
        <v>1500</v>
      </c>
      <c r="F23" s="3">
        <f>O27</f>
        <v>0</v>
      </c>
      <c r="G23" s="3">
        <f>O27</f>
        <v>0</v>
      </c>
      <c r="H23" s="3">
        <v>250</v>
      </c>
      <c r="I23" s="3">
        <v>250</v>
      </c>
      <c r="J23" s="3">
        <v>250</v>
      </c>
      <c r="N23" s="5"/>
      <c r="R23" s="15" t="s">
        <v>30</v>
      </c>
    </row>
    <row r="24" spans="1:19" x14ac:dyDescent="0.25">
      <c r="N24" s="5"/>
      <c r="R24" s="13" t="s">
        <v>67</v>
      </c>
      <c r="S24">
        <v>140</v>
      </c>
    </row>
    <row r="25" spans="1:19" x14ac:dyDescent="0.25">
      <c r="A25" s="15" t="s">
        <v>73</v>
      </c>
      <c r="B25" s="4">
        <f t="shared" ref="B25" si="3">SUM(B22:B23)</f>
        <v>0</v>
      </c>
      <c r="C25" s="4">
        <f>SUM(C22:C23)</f>
        <v>2656</v>
      </c>
      <c r="D25" s="4">
        <f t="shared" ref="D25:J25" si="4">SUM(D22:D23)</f>
        <v>2681.5</v>
      </c>
      <c r="E25" s="4">
        <f t="shared" si="4"/>
        <v>2707.2550000000001</v>
      </c>
      <c r="F25" s="4">
        <f t="shared" si="4"/>
        <v>2508.26755</v>
      </c>
      <c r="G25" s="4">
        <f t="shared" si="4"/>
        <v>2534.5402255000008</v>
      </c>
      <c r="H25" s="4">
        <f t="shared" si="4"/>
        <v>2479.5756277550008</v>
      </c>
      <c r="I25" s="4">
        <f t="shared" si="4"/>
        <v>2506.3763840325505</v>
      </c>
      <c r="J25" s="4">
        <f t="shared" si="4"/>
        <v>2533.4451478728761</v>
      </c>
      <c r="N25" s="5"/>
      <c r="R25" s="13" t="s">
        <v>68</v>
      </c>
      <c r="S25">
        <v>280</v>
      </c>
    </row>
    <row r="26" spans="1:19" x14ac:dyDescent="0.25">
      <c r="M26" s="11" t="s">
        <v>32</v>
      </c>
      <c r="N26" t="s">
        <v>35</v>
      </c>
    </row>
    <row r="27" spans="1:19" x14ac:dyDescent="0.25">
      <c r="N27" s="4">
        <v>1500</v>
      </c>
    </row>
    <row r="28" spans="1:19" x14ac:dyDescent="0.25">
      <c r="A28" s="17" t="s">
        <v>74</v>
      </c>
      <c r="B28" s="4">
        <f t="shared" ref="B28:J28" si="5">B9+B25</f>
        <v>-6000</v>
      </c>
      <c r="C28" s="4">
        <f>C9+C25</f>
        <v>1118.5</v>
      </c>
      <c r="D28" s="4">
        <f t="shared" si="5"/>
        <v>1393.875</v>
      </c>
      <c r="E28" s="4">
        <f t="shared" si="5"/>
        <v>1419.5037500000001</v>
      </c>
      <c r="F28" s="4">
        <f t="shared" si="5"/>
        <v>1220.3887875</v>
      </c>
      <c r="G28" s="4">
        <f t="shared" si="5"/>
        <v>496.53267537500074</v>
      </c>
      <c r="H28" s="4">
        <f t="shared" si="5"/>
        <v>1191.4380021287509</v>
      </c>
      <c r="I28" s="4">
        <f t="shared" si="5"/>
        <v>1218.1073821500379</v>
      </c>
      <c r="J28" s="4">
        <f t="shared" si="5"/>
        <v>3353.6143380066387</v>
      </c>
      <c r="N28" s="3" t="s">
        <v>34</v>
      </c>
      <c r="R28" s="17" t="s">
        <v>76</v>
      </c>
      <c r="S28" s="5">
        <v>0.08</v>
      </c>
    </row>
    <row r="29" spans="1:19" x14ac:dyDescent="0.25">
      <c r="A29" s="17" t="s">
        <v>75</v>
      </c>
      <c r="B29" s="4">
        <f>B28</f>
        <v>-6000</v>
      </c>
      <c r="C29" s="3">
        <f>C28/(1+S28)</f>
        <v>1035.648148148148</v>
      </c>
      <c r="D29" s="3">
        <f>D28/(1+S28)^2</f>
        <v>1195.023148148148</v>
      </c>
      <c r="E29" s="3">
        <f>E28/(1+S28)^3</f>
        <v>1126.8478429990346</v>
      </c>
      <c r="F29" s="3">
        <f>F28/(1+S28)^4</f>
        <v>897.02219083056707</v>
      </c>
      <c r="G29" s="3">
        <f>G28/(1+S28)^5</f>
        <v>337.93179563844063</v>
      </c>
      <c r="H29" s="3">
        <f>H28/(1+S28)^6</f>
        <v>750.80804125582654</v>
      </c>
      <c r="I29" s="3">
        <f>I28/(1+S28)^7</f>
        <v>710.75395788244873</v>
      </c>
      <c r="J29" s="3">
        <f>J28/(1+S28)^8</f>
        <v>1811.8534774446787</v>
      </c>
      <c r="N29" s="4">
        <f>N27*(100%-15%)</f>
        <v>1275</v>
      </c>
    </row>
    <row r="30" spans="1:19" x14ac:dyDescent="0.25">
      <c r="M30" s="11" t="s">
        <v>36</v>
      </c>
      <c r="N30" s="9"/>
    </row>
    <row r="31" spans="1:19" x14ac:dyDescent="0.25">
      <c r="A31" s="17" t="s">
        <v>77</v>
      </c>
      <c r="B31" s="4">
        <f>B29+C29+D29+E29+F29+G29+H29+I29+J29</f>
        <v>1865.8886023472919</v>
      </c>
      <c r="L31" s="11" t="s">
        <v>37</v>
      </c>
      <c r="M31">
        <v>1000000</v>
      </c>
      <c r="N31">
        <v>1000</v>
      </c>
      <c r="O31">
        <f>M31*N21*N22</f>
        <v>1250</v>
      </c>
    </row>
    <row r="32" spans="1:19" x14ac:dyDescent="0.25">
      <c r="L32" s="11" t="s">
        <v>38</v>
      </c>
      <c r="M32" s="8">
        <f>O31*O21</f>
        <v>1262.5</v>
      </c>
      <c r="N32" s="8">
        <f>M32-N31</f>
        <v>262.5</v>
      </c>
    </row>
    <row r="33" spans="12:15" x14ac:dyDescent="0.25">
      <c r="L33" s="11" t="s">
        <v>39</v>
      </c>
      <c r="M33" s="8">
        <f>M32*O21</f>
        <v>1275.125</v>
      </c>
      <c r="N33" s="8">
        <f t="shared" ref="N33:N38" si="6">M33-M32</f>
        <v>12.625</v>
      </c>
    </row>
    <row r="34" spans="12:15" x14ac:dyDescent="0.25">
      <c r="L34" s="11" t="s">
        <v>40</v>
      </c>
      <c r="M34" s="8">
        <f>M33*O21</f>
        <v>1287.87625</v>
      </c>
      <c r="N34" s="8">
        <f t="shared" si="6"/>
        <v>12.751250000000027</v>
      </c>
    </row>
    <row r="35" spans="12:15" x14ac:dyDescent="0.25">
      <c r="L35" s="11" t="s">
        <v>41</v>
      </c>
      <c r="M35" s="8">
        <f>M34*O21</f>
        <v>1300.7550125</v>
      </c>
      <c r="N35" s="8">
        <f t="shared" si="6"/>
        <v>12.878762499999993</v>
      </c>
    </row>
    <row r="36" spans="12:15" x14ac:dyDescent="0.25">
      <c r="L36" s="11" t="s">
        <v>42</v>
      </c>
      <c r="M36" s="8">
        <f>M35*O21</f>
        <v>1313.7625626250001</v>
      </c>
      <c r="N36" s="8">
        <f t="shared" si="6"/>
        <v>13.00755012500008</v>
      </c>
    </row>
    <row r="37" spans="12:15" x14ac:dyDescent="0.25">
      <c r="L37" s="11" t="s">
        <v>43</v>
      </c>
      <c r="M37" s="8">
        <f>M36*O21</f>
        <v>1326.90018825125</v>
      </c>
      <c r="N37" s="8">
        <f t="shared" si="6"/>
        <v>13.137625626249928</v>
      </c>
    </row>
    <row r="38" spans="12:15" x14ac:dyDescent="0.25">
      <c r="L38" s="11" t="s">
        <v>44</v>
      </c>
      <c r="M38" s="8">
        <f>M37*O21</f>
        <v>1340.1691901337626</v>
      </c>
      <c r="N38" s="8">
        <f t="shared" si="6"/>
        <v>13.269001882512612</v>
      </c>
    </row>
    <row r="39" spans="12:15" x14ac:dyDescent="0.25">
      <c r="N39" s="8">
        <f>M38</f>
        <v>1340.1691901337626</v>
      </c>
      <c r="O39" t="s">
        <v>47</v>
      </c>
    </row>
  </sheetData>
  <pageMargins left="0.7" right="0.7" top="0.75" bottom="0.75" header="0.3" footer="0.3"/>
  <pageSetup orientation="portrait" r:id="rId1"/>
  <ignoredErrors>
    <ignoredError sqref="I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zoomScale="80" zoomScaleNormal="80" workbookViewId="0">
      <selection activeCell="B29" sqref="B29"/>
    </sheetView>
  </sheetViews>
  <sheetFormatPr baseColWidth="10" defaultRowHeight="15" x14ac:dyDescent="0.25"/>
  <cols>
    <col min="1" max="1" width="41.28515625" bestFit="1" customWidth="1"/>
    <col min="2" max="2" width="13.140625" bestFit="1" customWidth="1"/>
    <col min="3" max="10" width="13.28515625" bestFit="1" customWidth="1"/>
    <col min="13" max="13" width="34.85546875" bestFit="1" customWidth="1"/>
    <col min="14" max="14" width="29.28515625" bestFit="1" customWidth="1"/>
    <col min="15" max="15" width="17.42578125" bestFit="1" customWidth="1"/>
    <col min="16" max="16" width="14" customWidth="1"/>
    <col min="18" max="18" width="24.85546875" bestFit="1" customWidth="1"/>
    <col min="19" max="19" width="12.140625" bestFit="1" customWidth="1"/>
    <col min="20" max="20" width="13.28515625" bestFit="1" customWidth="1"/>
  </cols>
  <sheetData>
    <row r="1" spans="1:21" x14ac:dyDescent="0.25">
      <c r="A1" t="s">
        <v>1</v>
      </c>
      <c r="B1" s="11" t="s">
        <v>48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M1" s="11" t="s">
        <v>16</v>
      </c>
      <c r="N1" s="2">
        <v>3000</v>
      </c>
      <c r="R1" s="13" t="s">
        <v>55</v>
      </c>
      <c r="S1">
        <v>1000000</v>
      </c>
      <c r="T1" s="3">
        <f>S1*0.01</f>
        <v>10000</v>
      </c>
      <c r="U1" t="s">
        <v>58</v>
      </c>
    </row>
    <row r="2" spans="1:21" x14ac:dyDescent="0.25">
      <c r="A2" t="s">
        <v>10</v>
      </c>
      <c r="B2" s="2">
        <f>-N1</f>
        <v>-3000</v>
      </c>
      <c r="C2" s="1"/>
      <c r="M2" s="11" t="s">
        <v>17</v>
      </c>
      <c r="N2" s="3">
        <f>N1*0.1</f>
        <v>300</v>
      </c>
      <c r="R2" s="13" t="s">
        <v>81</v>
      </c>
      <c r="T2" s="3">
        <f>T1*R3</f>
        <v>10200</v>
      </c>
      <c r="U2" t="s">
        <v>59</v>
      </c>
    </row>
    <row r="3" spans="1:21" x14ac:dyDescent="0.25">
      <c r="A3" t="s">
        <v>11</v>
      </c>
      <c r="J3" s="3">
        <f>N15</f>
        <v>351</v>
      </c>
      <c r="M3" s="11" t="s">
        <v>18</v>
      </c>
      <c r="N3">
        <v>3</v>
      </c>
      <c r="O3" t="s">
        <v>19</v>
      </c>
      <c r="R3">
        <v>1.02</v>
      </c>
      <c r="T3" s="3">
        <f>T2*R3</f>
        <v>10404</v>
      </c>
      <c r="U3" t="s">
        <v>60</v>
      </c>
    </row>
    <row r="4" spans="1:21" x14ac:dyDescent="0.25">
      <c r="A4" t="s">
        <v>12</v>
      </c>
      <c r="G4" s="4">
        <f>-N18</f>
        <v>-1200</v>
      </c>
      <c r="T4" s="3">
        <f>T3*R3</f>
        <v>10612.08</v>
      </c>
      <c r="U4" t="s">
        <v>61</v>
      </c>
    </row>
    <row r="5" spans="1:21" x14ac:dyDescent="0.25">
      <c r="A5" t="s">
        <v>13</v>
      </c>
      <c r="C5" s="4">
        <f>-N28</f>
        <v>-1275</v>
      </c>
      <c r="D5" s="4">
        <f>-N28</f>
        <v>-1275</v>
      </c>
      <c r="E5" s="4">
        <f>-N28</f>
        <v>-1275</v>
      </c>
      <c r="F5" s="4">
        <f>-N28</f>
        <v>-1275</v>
      </c>
      <c r="G5" s="4">
        <f>-N28</f>
        <v>-1275</v>
      </c>
      <c r="H5" s="4">
        <f>-N28</f>
        <v>-1275</v>
      </c>
      <c r="I5" s="4">
        <f>-N28</f>
        <v>-1275</v>
      </c>
      <c r="J5" s="4">
        <f>-N28</f>
        <v>-1275</v>
      </c>
      <c r="M5" s="11" t="s">
        <v>20</v>
      </c>
      <c r="N5" s="3">
        <f>(N1-N2)/N3</f>
        <v>900</v>
      </c>
      <c r="T5" s="3">
        <f>T4*R3</f>
        <v>10824.321599999999</v>
      </c>
      <c r="U5" t="s">
        <v>62</v>
      </c>
    </row>
    <row r="6" spans="1:21" x14ac:dyDescent="0.25">
      <c r="A6" t="s">
        <v>14</v>
      </c>
      <c r="B6" s="3">
        <f>-N30</f>
        <v>-1000</v>
      </c>
      <c r="C6" s="3">
        <f>-N31</f>
        <v>-1550</v>
      </c>
      <c r="D6" s="3">
        <f>-N32</f>
        <v>-51</v>
      </c>
      <c r="E6" s="3">
        <f>-N33</f>
        <v>-52.019999999999982</v>
      </c>
      <c r="F6" s="3">
        <f>-N34</f>
        <v>-53.060399999999845</v>
      </c>
      <c r="G6" s="3">
        <f>-N35</f>
        <v>-54.121607999999924</v>
      </c>
      <c r="H6" s="3">
        <f>-N36</f>
        <v>-55.204040160000204</v>
      </c>
      <c r="I6" s="3">
        <f>-N37</f>
        <v>-56.308120963200054</v>
      </c>
      <c r="J6" s="3">
        <f>N38</f>
        <v>2871.7141691232</v>
      </c>
      <c r="T6" s="3">
        <f>T5*R3</f>
        <v>11040.808031999999</v>
      </c>
      <c r="U6" t="s">
        <v>63</v>
      </c>
    </row>
    <row r="7" spans="1:21" x14ac:dyDescent="0.25">
      <c r="M7" s="11" t="s">
        <v>22</v>
      </c>
      <c r="N7" s="11" t="s">
        <v>21</v>
      </c>
      <c r="O7" s="11" t="s">
        <v>23</v>
      </c>
      <c r="P7" s="11" t="s">
        <v>24</v>
      </c>
      <c r="T7" s="3">
        <f>T6*R3</f>
        <v>11261.62419264</v>
      </c>
      <c r="U7" t="s">
        <v>64</v>
      </c>
    </row>
    <row r="8" spans="1:21" x14ac:dyDescent="0.25">
      <c r="A8" s="12" t="s">
        <v>15</v>
      </c>
      <c r="B8" s="3">
        <f>SUM(B2:B6)</f>
        <v>-4000</v>
      </c>
      <c r="C8" s="3">
        <f>SUM(C2:C7)</f>
        <v>-2825</v>
      </c>
      <c r="D8" s="4">
        <f>SUM(D5:D7)</f>
        <v>-1326</v>
      </c>
      <c r="E8" s="4">
        <f>SUM(E5:E7)</f>
        <v>-1327.02</v>
      </c>
      <c r="F8" s="3">
        <f>SUM(F5:F6)</f>
        <v>-1328.0603999999998</v>
      </c>
      <c r="G8" s="4">
        <f>SUM(G4:G7)</f>
        <v>-2529.1216079999999</v>
      </c>
      <c r="H8" s="4">
        <f>SUM(H5:H6)</f>
        <v>-1330.2040401600002</v>
      </c>
      <c r="I8" s="4">
        <f>SUM(I5:I6)</f>
        <v>-1331.3081209632001</v>
      </c>
      <c r="J8" s="4">
        <f>SUM(J3:J7)</f>
        <v>1947.7141691232</v>
      </c>
      <c r="M8" s="3">
        <f>N1</f>
        <v>3000</v>
      </c>
      <c r="N8" s="3">
        <f>N1-N5</f>
        <v>2100</v>
      </c>
      <c r="O8" s="3">
        <f>N8-N5</f>
        <v>1200</v>
      </c>
      <c r="P8">
        <f>O8-N5</f>
        <v>300</v>
      </c>
      <c r="T8" s="3">
        <f>T7*R3</f>
        <v>11486.8566764928</v>
      </c>
      <c r="U8" t="s">
        <v>65</v>
      </c>
    </row>
    <row r="10" spans="1:21" x14ac:dyDescent="0.25">
      <c r="M10" s="11" t="s">
        <v>25</v>
      </c>
      <c r="N10" s="3">
        <v>360</v>
      </c>
      <c r="R10" s="13" t="s">
        <v>51</v>
      </c>
    </row>
    <row r="11" spans="1:21" x14ac:dyDescent="0.25">
      <c r="A11" t="s">
        <v>1</v>
      </c>
      <c r="B11" s="13" t="s">
        <v>48</v>
      </c>
      <c r="C11" s="13" t="s">
        <v>2</v>
      </c>
      <c r="D11" s="13" t="s">
        <v>3</v>
      </c>
      <c r="E11" s="13" t="s">
        <v>4</v>
      </c>
      <c r="F11" s="13" t="s">
        <v>5</v>
      </c>
      <c r="G11" s="13" t="s">
        <v>6</v>
      </c>
      <c r="H11" s="13" t="s">
        <v>7</v>
      </c>
      <c r="I11" s="13" t="s">
        <v>8</v>
      </c>
      <c r="J11" s="13" t="s">
        <v>9</v>
      </c>
      <c r="M11" s="11" t="s">
        <v>26</v>
      </c>
      <c r="N11" s="3">
        <f>N2</f>
        <v>300</v>
      </c>
      <c r="R11" s="13" t="s">
        <v>79</v>
      </c>
      <c r="S11" s="6">
        <f>100%-33%</f>
        <v>0.66999999999999993</v>
      </c>
    </row>
    <row r="12" spans="1:21" x14ac:dyDescent="0.25">
      <c r="A12" t="s">
        <v>50</v>
      </c>
      <c r="C12" s="4">
        <f>T1</f>
        <v>10000</v>
      </c>
      <c r="D12" s="4">
        <f>T2</f>
        <v>10200</v>
      </c>
      <c r="E12" s="4">
        <f>T3</f>
        <v>10404</v>
      </c>
      <c r="F12" s="4">
        <f>T4</f>
        <v>10612.08</v>
      </c>
      <c r="G12" s="4">
        <f>T5</f>
        <v>10824.321599999999</v>
      </c>
      <c r="H12" s="4">
        <f>T6</f>
        <v>11040.808031999999</v>
      </c>
      <c r="I12" s="4">
        <f>T7</f>
        <v>11261.62419264</v>
      </c>
      <c r="J12" s="4">
        <f>T8</f>
        <v>11486.8566764928</v>
      </c>
      <c r="M12" s="11" t="s">
        <v>27</v>
      </c>
      <c r="N12" s="3">
        <f>N10-N11</f>
        <v>60</v>
      </c>
      <c r="R12" s="14"/>
    </row>
    <row r="13" spans="1:21" x14ac:dyDescent="0.25">
      <c r="A13" t="s">
        <v>51</v>
      </c>
      <c r="C13" s="4">
        <f>-S13</f>
        <v>-6699.9999999999991</v>
      </c>
      <c r="D13" s="4">
        <f>-S14</f>
        <v>-6833.9999999999991</v>
      </c>
      <c r="E13" s="4">
        <f>-S15</f>
        <v>-6970.6799999999994</v>
      </c>
      <c r="F13" s="4">
        <f>-S16</f>
        <v>-7110.0935999999992</v>
      </c>
      <c r="G13" s="4">
        <f>-S17</f>
        <v>-7252.2954719999989</v>
      </c>
      <c r="H13" s="4">
        <f>-S18</f>
        <v>-7397.3413814399983</v>
      </c>
      <c r="I13" s="4">
        <f>-S19</f>
        <v>-7545.288209068799</v>
      </c>
      <c r="J13" s="4">
        <f>-S20</f>
        <v>-7696.1939732501751</v>
      </c>
      <c r="M13" s="11" t="s">
        <v>28</v>
      </c>
      <c r="N13" s="3">
        <f>N12*0.15</f>
        <v>9</v>
      </c>
      <c r="R13" s="13" t="s">
        <v>58</v>
      </c>
      <c r="S13" s="3">
        <f>T1*S11</f>
        <v>6699.9999999999991</v>
      </c>
    </row>
    <row r="14" spans="1:21" x14ac:dyDescent="0.25">
      <c r="A14" t="s">
        <v>52</v>
      </c>
      <c r="C14" s="3">
        <f>-V23</f>
        <v>-200</v>
      </c>
      <c r="D14" s="3">
        <f>-V24</f>
        <v>-300</v>
      </c>
      <c r="E14" s="3">
        <f>-V25</f>
        <v>-400</v>
      </c>
      <c r="F14" s="3">
        <f>-V26</f>
        <v>-500</v>
      </c>
      <c r="G14" s="3">
        <f>-V27</f>
        <v>-600</v>
      </c>
      <c r="H14" s="3">
        <f>-V28</f>
        <v>-700</v>
      </c>
      <c r="I14" s="3">
        <f>-V29</f>
        <v>-800</v>
      </c>
      <c r="J14" s="3">
        <f>-V30</f>
        <v>-900</v>
      </c>
      <c r="R14" s="13" t="s">
        <v>59</v>
      </c>
      <c r="S14" s="3">
        <f>T2*S11</f>
        <v>6833.9999999999991</v>
      </c>
    </row>
    <row r="15" spans="1:21" ht="14.45" customHeight="1" x14ac:dyDescent="0.25">
      <c r="A15" t="s">
        <v>53</v>
      </c>
      <c r="C15" s="4">
        <f>-N5</f>
        <v>-900</v>
      </c>
      <c r="D15" s="4">
        <f>-N5</f>
        <v>-900</v>
      </c>
      <c r="E15" s="4">
        <f>-N5</f>
        <v>-900</v>
      </c>
      <c r="M15" s="11" t="s">
        <v>29</v>
      </c>
      <c r="N15" s="3">
        <f>N10-N13</f>
        <v>351</v>
      </c>
      <c r="R15" s="13" t="s">
        <v>60</v>
      </c>
      <c r="S15" s="3">
        <f>T3*S11</f>
        <v>6970.6799999999994</v>
      </c>
    </row>
    <row r="16" spans="1:21" ht="14.45" customHeight="1" x14ac:dyDescent="0.25">
      <c r="A16" t="s">
        <v>54</v>
      </c>
      <c r="H16" s="4">
        <f>+G4/3</f>
        <v>-400</v>
      </c>
      <c r="I16" s="4">
        <f>+H16</f>
        <v>-400</v>
      </c>
      <c r="J16" s="4">
        <f>+I16</f>
        <v>-400</v>
      </c>
      <c r="R16" s="13" t="s">
        <v>61</v>
      </c>
      <c r="S16" s="3">
        <f>T4*S11</f>
        <v>7110.0935999999992</v>
      </c>
    </row>
    <row r="17" spans="1:22" ht="14.45" customHeight="1" x14ac:dyDescent="0.25">
      <c r="M17" s="12" t="s">
        <v>30</v>
      </c>
      <c r="R17" s="13" t="s">
        <v>62</v>
      </c>
      <c r="S17" s="3">
        <f>T5*S11</f>
        <v>7252.2954719999989</v>
      </c>
    </row>
    <row r="18" spans="1:22" ht="14.45" customHeight="1" x14ac:dyDescent="0.25">
      <c r="A18" s="16" t="s">
        <v>69</v>
      </c>
      <c r="B18" s="3">
        <f>SUM(B15:B16)</f>
        <v>0</v>
      </c>
      <c r="C18" s="4">
        <f>SUM(C12:C16)</f>
        <v>2200.0000000000009</v>
      </c>
      <c r="D18" s="4">
        <f t="shared" ref="D18:J18" si="0">SUM(D12:D16)</f>
        <v>2166.0000000000009</v>
      </c>
      <c r="E18" s="4">
        <f t="shared" si="0"/>
        <v>2133.3200000000006</v>
      </c>
      <c r="F18" s="4">
        <f t="shared" si="0"/>
        <v>3001.9864000000007</v>
      </c>
      <c r="G18" s="4">
        <f t="shared" si="0"/>
        <v>2972.0261280000004</v>
      </c>
      <c r="H18" s="4">
        <f t="shared" si="0"/>
        <v>2543.4666505600007</v>
      </c>
      <c r="I18" s="4">
        <f t="shared" si="0"/>
        <v>2516.3359835712008</v>
      </c>
      <c r="J18" s="4">
        <f t="shared" si="0"/>
        <v>2490.662703242625</v>
      </c>
      <c r="M18" s="11" t="s">
        <v>31</v>
      </c>
      <c r="N18" s="3">
        <v>1200</v>
      </c>
      <c r="R18" s="13" t="s">
        <v>63</v>
      </c>
      <c r="S18" s="3">
        <f>T6*S11</f>
        <v>7397.3413814399983</v>
      </c>
    </row>
    <row r="19" spans="1:22" x14ac:dyDescent="0.25">
      <c r="A19" s="13" t="s">
        <v>70</v>
      </c>
      <c r="B19" s="4">
        <f>B18*0.15</f>
        <v>0</v>
      </c>
      <c r="C19" s="4">
        <f t="shared" ref="C19:J19" si="1">-C18*0.15</f>
        <v>-330.00000000000011</v>
      </c>
      <c r="D19" s="3">
        <f t="shared" si="1"/>
        <v>-324.90000000000015</v>
      </c>
      <c r="E19" s="4">
        <f t="shared" si="1"/>
        <v>-319.9980000000001</v>
      </c>
      <c r="F19" s="4">
        <f t="shared" si="1"/>
        <v>-450.2979600000001</v>
      </c>
      <c r="G19" s="4">
        <f t="shared" si="1"/>
        <v>-445.80391920000005</v>
      </c>
      <c r="H19" s="4">
        <f t="shared" si="1"/>
        <v>-381.51999758400012</v>
      </c>
      <c r="I19" s="4">
        <f t="shared" si="1"/>
        <v>-377.45039753568011</v>
      </c>
      <c r="J19" s="4">
        <f t="shared" si="1"/>
        <v>-373.59940548639372</v>
      </c>
      <c r="M19" s="11" t="s">
        <v>33</v>
      </c>
      <c r="N19" s="5">
        <v>0.15</v>
      </c>
      <c r="R19" s="13" t="s">
        <v>64</v>
      </c>
      <c r="S19" s="3">
        <f>T7*S11</f>
        <v>7545.288209068799</v>
      </c>
    </row>
    <row r="20" spans="1:22" x14ac:dyDescent="0.25">
      <c r="M20" s="11" t="s">
        <v>78</v>
      </c>
      <c r="N20" s="7">
        <v>0.02</v>
      </c>
      <c r="O20">
        <v>1.02</v>
      </c>
      <c r="R20" s="13" t="s">
        <v>65</v>
      </c>
      <c r="S20" s="3">
        <f>T8*S11</f>
        <v>7696.1939732501751</v>
      </c>
    </row>
    <row r="21" spans="1:22" x14ac:dyDescent="0.25">
      <c r="A21" s="15" t="s">
        <v>71</v>
      </c>
      <c r="B21" s="3">
        <f>B20</f>
        <v>0</v>
      </c>
      <c r="C21" s="4">
        <f>SUM(C18:C19)</f>
        <v>1870.0000000000009</v>
      </c>
      <c r="D21" s="4">
        <f>SUM(D18:D19)</f>
        <v>1841.1000000000008</v>
      </c>
      <c r="E21" s="4">
        <f>SUM(E18:E19)</f>
        <v>1813.3220000000006</v>
      </c>
      <c r="F21" s="4">
        <f>SUM(F18:F20)</f>
        <v>2551.6884400000008</v>
      </c>
      <c r="G21" s="4">
        <f>SUM(G18:G20)</f>
        <v>2526.2222088000003</v>
      </c>
      <c r="H21" s="4">
        <f>SUM(H18:H20)</f>
        <v>2161.9466529760007</v>
      </c>
      <c r="I21" s="4">
        <f t="shared" ref="I21:J21" si="2">SUM(I18:I20)</f>
        <v>2138.8855860355206</v>
      </c>
      <c r="J21" s="4">
        <f t="shared" si="2"/>
        <v>2117.0632977562313</v>
      </c>
      <c r="M21" s="11" t="s">
        <v>46</v>
      </c>
      <c r="N21">
        <v>0.125</v>
      </c>
    </row>
    <row r="22" spans="1:22" x14ac:dyDescent="0.25">
      <c r="A22" s="13" t="s">
        <v>72</v>
      </c>
      <c r="B22" s="3">
        <f>B21</f>
        <v>0</v>
      </c>
      <c r="C22" s="4">
        <f>-C15</f>
        <v>900</v>
      </c>
      <c r="D22" s="4">
        <f>-D15</f>
        <v>900</v>
      </c>
      <c r="E22" s="4">
        <f>-E15</f>
        <v>900</v>
      </c>
      <c r="F22" s="3">
        <f>O26</f>
        <v>0</v>
      </c>
      <c r="G22" s="3">
        <f>O26</f>
        <v>0</v>
      </c>
      <c r="H22" s="3">
        <f>-H16</f>
        <v>400</v>
      </c>
      <c r="I22" s="3">
        <f>-I16</f>
        <v>400</v>
      </c>
      <c r="J22" s="3">
        <f>-J16</f>
        <v>400</v>
      </c>
      <c r="N22" s="5"/>
      <c r="R22" s="15" t="s">
        <v>30</v>
      </c>
    </row>
    <row r="23" spans="1:22" x14ac:dyDescent="0.25">
      <c r="N23" s="5"/>
      <c r="R23" s="13" t="s">
        <v>67</v>
      </c>
      <c r="S23">
        <v>200</v>
      </c>
      <c r="U23" s="13" t="s">
        <v>58</v>
      </c>
      <c r="V23">
        <f>S23</f>
        <v>200</v>
      </c>
    </row>
    <row r="24" spans="1:22" x14ac:dyDescent="0.25">
      <c r="A24" s="15" t="s">
        <v>73</v>
      </c>
      <c r="B24" s="4">
        <f t="shared" ref="B24:G24" si="3">SUM(B21:B22)</f>
        <v>0</v>
      </c>
      <c r="C24" s="4">
        <f t="shared" si="3"/>
        <v>2770.0000000000009</v>
      </c>
      <c r="D24" s="4">
        <f t="shared" si="3"/>
        <v>2741.1000000000008</v>
      </c>
      <c r="E24" s="4">
        <f t="shared" si="3"/>
        <v>2713.3220000000006</v>
      </c>
      <c r="F24" s="4">
        <f t="shared" si="3"/>
        <v>2551.6884400000008</v>
      </c>
      <c r="G24" s="4">
        <f t="shared" si="3"/>
        <v>2526.2222088000003</v>
      </c>
      <c r="H24" s="4">
        <f>SUM(H21:H23)</f>
        <v>2561.9466529760007</v>
      </c>
      <c r="I24" s="4">
        <f>SUM(I21:I22)</f>
        <v>2538.8855860355206</v>
      </c>
      <c r="J24" s="4">
        <f>SUM(J21:J22)</f>
        <v>2517.0632977562313</v>
      </c>
      <c r="N24" s="5"/>
      <c r="R24" s="13" t="s">
        <v>80</v>
      </c>
      <c r="S24">
        <v>100</v>
      </c>
      <c r="U24" s="13" t="s">
        <v>59</v>
      </c>
      <c r="V24">
        <f>V23+S24</f>
        <v>300</v>
      </c>
    </row>
    <row r="25" spans="1:22" x14ac:dyDescent="0.25">
      <c r="M25" s="11" t="s">
        <v>32</v>
      </c>
      <c r="N25" t="s">
        <v>35</v>
      </c>
      <c r="U25" s="13" t="s">
        <v>60</v>
      </c>
      <c r="V25">
        <f>V24+S24</f>
        <v>400</v>
      </c>
    </row>
    <row r="26" spans="1:22" x14ac:dyDescent="0.25">
      <c r="N26" s="4">
        <v>1500</v>
      </c>
      <c r="U26" s="13" t="s">
        <v>61</v>
      </c>
      <c r="V26">
        <f>V25+S24</f>
        <v>500</v>
      </c>
    </row>
    <row r="27" spans="1:22" x14ac:dyDescent="0.25">
      <c r="A27" s="17" t="s">
        <v>74</v>
      </c>
      <c r="B27" s="4">
        <f t="shared" ref="B27:J27" si="4">B8+B24</f>
        <v>-4000</v>
      </c>
      <c r="C27" s="4">
        <f>C8+C24</f>
        <v>-54.999999999999091</v>
      </c>
      <c r="D27" s="4">
        <f t="shared" si="4"/>
        <v>1415.1000000000008</v>
      </c>
      <c r="E27" s="4">
        <f t="shared" si="4"/>
        <v>1386.3020000000006</v>
      </c>
      <c r="F27" s="4">
        <f t="shared" si="4"/>
        <v>1223.628040000001</v>
      </c>
      <c r="G27" s="4">
        <f t="shared" si="4"/>
        <v>-2.8993991999996069</v>
      </c>
      <c r="H27" s="4">
        <f t="shared" si="4"/>
        <v>1231.7426128160005</v>
      </c>
      <c r="I27" s="4">
        <f t="shared" si="4"/>
        <v>1207.5774650723206</v>
      </c>
      <c r="J27" s="4">
        <f t="shared" si="4"/>
        <v>4464.7774668794318</v>
      </c>
      <c r="N27" s="3" t="s">
        <v>34</v>
      </c>
      <c r="R27" s="17" t="s">
        <v>76</v>
      </c>
      <c r="S27" s="5">
        <v>0.08</v>
      </c>
      <c r="U27" s="13" t="s">
        <v>62</v>
      </c>
      <c r="V27">
        <f>V26+S24</f>
        <v>600</v>
      </c>
    </row>
    <row r="28" spans="1:22" x14ac:dyDescent="0.25">
      <c r="A28" s="17" t="s">
        <v>75</v>
      </c>
      <c r="B28" s="4">
        <f>B27</f>
        <v>-4000</v>
      </c>
      <c r="C28" s="3">
        <f>C27/(1+S27)</f>
        <v>-50.925925925925078</v>
      </c>
      <c r="D28" s="3">
        <f>D27/(1+S27)^2</f>
        <v>1213.2201646090541</v>
      </c>
      <c r="E28" s="3">
        <f>E27/(1+S27)^3</f>
        <v>1100.4912233907437</v>
      </c>
      <c r="F28" s="3">
        <f>F27/(1+S27)^4</f>
        <v>899.40313811881333</v>
      </c>
      <c r="G28" s="3">
        <f>G27/(1+S27)^5</f>
        <v>-1.9732823770128383</v>
      </c>
      <c r="H28" s="3">
        <f>H27/(1+S27)^6</f>
        <v>776.20678273427939</v>
      </c>
      <c r="I28" s="3">
        <f>I27/(1+S27)^7</f>
        <v>704.60985240469392</v>
      </c>
      <c r="J28" s="3">
        <f>J27/(1+S27)^8</f>
        <v>2412.1803415805075</v>
      </c>
      <c r="N28" s="4">
        <f>N26*(100%-15%)</f>
        <v>1275</v>
      </c>
      <c r="U28" s="13" t="s">
        <v>63</v>
      </c>
      <c r="V28">
        <f>V27+S24</f>
        <v>700</v>
      </c>
    </row>
    <row r="29" spans="1:22" x14ac:dyDescent="0.25">
      <c r="M29" s="11" t="s">
        <v>36</v>
      </c>
      <c r="N29" s="9"/>
      <c r="U29" s="13" t="s">
        <v>64</v>
      </c>
      <c r="V29">
        <f>V28+S24</f>
        <v>800</v>
      </c>
    </row>
    <row r="30" spans="1:22" x14ac:dyDescent="0.25">
      <c r="A30" s="17" t="s">
        <v>77</v>
      </c>
      <c r="B30" s="4">
        <f>B28+C28+D28+E28+F28+G28+H28+I28+J28</f>
        <v>3053.2122945351539</v>
      </c>
      <c r="L30" s="11" t="s">
        <v>37</v>
      </c>
      <c r="M30">
        <v>1000000</v>
      </c>
      <c r="N30">
        <v>1000</v>
      </c>
      <c r="O30">
        <f>M30*N20*N21</f>
        <v>2500</v>
      </c>
      <c r="U30" s="13" t="s">
        <v>65</v>
      </c>
      <c r="V30">
        <f>V29+S24</f>
        <v>900</v>
      </c>
    </row>
    <row r="31" spans="1:22" x14ac:dyDescent="0.25">
      <c r="L31" s="11" t="s">
        <v>38</v>
      </c>
      <c r="M31" s="8">
        <f>O30*O20</f>
        <v>2550</v>
      </c>
      <c r="N31" s="8">
        <f>M31-N30</f>
        <v>1550</v>
      </c>
    </row>
    <row r="32" spans="1:22" x14ac:dyDescent="0.25">
      <c r="L32" s="11" t="s">
        <v>39</v>
      </c>
      <c r="M32" s="8">
        <f>M31*O20</f>
        <v>2601</v>
      </c>
      <c r="N32" s="8">
        <f t="shared" ref="N32:N37" si="5">M32-M31</f>
        <v>51</v>
      </c>
    </row>
    <row r="33" spans="12:15" x14ac:dyDescent="0.25">
      <c r="L33" s="11" t="s">
        <v>40</v>
      </c>
      <c r="M33" s="8">
        <f>M32*O20</f>
        <v>2653.02</v>
      </c>
      <c r="N33" s="8">
        <f t="shared" si="5"/>
        <v>52.019999999999982</v>
      </c>
    </row>
    <row r="34" spans="12:15" x14ac:dyDescent="0.25">
      <c r="L34" s="11" t="s">
        <v>41</v>
      </c>
      <c r="M34" s="8">
        <f>M33*O20</f>
        <v>2706.0803999999998</v>
      </c>
      <c r="N34" s="8">
        <f t="shared" si="5"/>
        <v>53.060399999999845</v>
      </c>
    </row>
    <row r="35" spans="12:15" x14ac:dyDescent="0.25">
      <c r="L35" s="11" t="s">
        <v>42</v>
      </c>
      <c r="M35" s="8">
        <f>M34*O20</f>
        <v>2760.2020079999998</v>
      </c>
      <c r="N35" s="8">
        <f t="shared" si="5"/>
        <v>54.121607999999924</v>
      </c>
    </row>
    <row r="36" spans="12:15" x14ac:dyDescent="0.25">
      <c r="L36" s="11" t="s">
        <v>43</v>
      </c>
      <c r="M36" s="8">
        <f>M35*O20</f>
        <v>2815.40604816</v>
      </c>
      <c r="N36" s="8">
        <f t="shared" si="5"/>
        <v>55.204040160000204</v>
      </c>
    </row>
    <row r="37" spans="12:15" x14ac:dyDescent="0.25">
      <c r="L37" s="11" t="s">
        <v>44</v>
      </c>
      <c r="M37" s="8">
        <f>M36*O20</f>
        <v>2871.7141691232</v>
      </c>
      <c r="N37" s="8">
        <f t="shared" si="5"/>
        <v>56.308120963200054</v>
      </c>
    </row>
    <row r="38" spans="12:15" x14ac:dyDescent="0.25">
      <c r="N38" s="8">
        <f>M37</f>
        <v>2871.7141691232</v>
      </c>
      <c r="O38" t="s">
        <v>47</v>
      </c>
    </row>
  </sheetData>
  <pageMargins left="0.7" right="0.7" top="0.75" bottom="0.75" header="0.3" footer="0.3"/>
  <ignoredErrors>
    <ignoredError sqref="H2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3"/>
  <sheetViews>
    <sheetView zoomScale="80" zoomScaleNormal="80" workbookViewId="0">
      <selection activeCell="F17" sqref="F17"/>
    </sheetView>
  </sheetViews>
  <sheetFormatPr baseColWidth="10" defaultRowHeight="15" x14ac:dyDescent="0.25"/>
  <cols>
    <col min="1" max="1" width="25.5703125" bestFit="1" customWidth="1"/>
    <col min="2" max="2" width="13.140625" bestFit="1" customWidth="1"/>
    <col min="3" max="10" width="13.28515625" bestFit="1" customWidth="1"/>
    <col min="13" max="13" width="34.85546875" bestFit="1" customWidth="1"/>
    <col min="14" max="14" width="29.28515625" customWidth="1"/>
    <col min="15" max="15" width="20.140625" bestFit="1" customWidth="1"/>
    <col min="18" max="18" width="35.140625" bestFit="1" customWidth="1"/>
    <col min="19" max="19" width="12.5703125" customWidth="1"/>
    <col min="20" max="20" width="13.28515625" bestFit="1" customWidth="1"/>
  </cols>
  <sheetData>
    <row r="1" spans="1:21" x14ac:dyDescent="0.25">
      <c r="A1" t="s">
        <v>1</v>
      </c>
      <c r="B1" s="11" t="s">
        <v>48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M1" s="11" t="s">
        <v>16</v>
      </c>
      <c r="N1" s="2">
        <v>3000</v>
      </c>
      <c r="R1" s="13" t="s">
        <v>55</v>
      </c>
      <c r="S1">
        <v>1000000</v>
      </c>
      <c r="T1" s="3">
        <f>S1*0.01</f>
        <v>10000</v>
      </c>
      <c r="U1" t="s">
        <v>58</v>
      </c>
    </row>
    <row r="2" spans="1:21" x14ac:dyDescent="0.25">
      <c r="A2" t="s">
        <v>10</v>
      </c>
      <c r="B2" s="3">
        <f>-N1</f>
        <v>-3000</v>
      </c>
      <c r="C2" s="1"/>
      <c r="M2" s="11" t="s">
        <v>17</v>
      </c>
      <c r="N2" s="3">
        <f>N1*0.1</f>
        <v>300</v>
      </c>
      <c r="R2" s="13" t="s">
        <v>84</v>
      </c>
      <c r="T2" s="3">
        <f>S1*R3*S4</f>
        <v>10300</v>
      </c>
      <c r="U2" t="s">
        <v>59</v>
      </c>
    </row>
    <row r="3" spans="1:21" x14ac:dyDescent="0.25">
      <c r="A3" t="s">
        <v>101</v>
      </c>
      <c r="E3" s="4"/>
      <c r="J3" s="3"/>
      <c r="M3" s="11" t="s">
        <v>18</v>
      </c>
      <c r="N3">
        <v>3</v>
      </c>
      <c r="O3" t="s">
        <v>19</v>
      </c>
      <c r="R3">
        <v>1.03</v>
      </c>
      <c r="T3" s="3">
        <f>T2*R3</f>
        <v>10609</v>
      </c>
      <c r="U3" t="s">
        <v>60</v>
      </c>
    </row>
    <row r="4" spans="1:21" x14ac:dyDescent="0.25">
      <c r="A4" t="s">
        <v>12</v>
      </c>
      <c r="G4" s="4"/>
      <c r="R4" t="s">
        <v>90</v>
      </c>
      <c r="S4">
        <v>0.01</v>
      </c>
      <c r="T4" s="3">
        <f>T3*R3</f>
        <v>10927.27</v>
      </c>
      <c r="U4" t="s">
        <v>61</v>
      </c>
    </row>
    <row r="5" spans="1:21" x14ac:dyDescent="0.25">
      <c r="A5" t="s">
        <v>13</v>
      </c>
      <c r="C5" s="4">
        <f>-N29</f>
        <v>-1275</v>
      </c>
      <c r="D5" s="4">
        <f>-N29</f>
        <v>-1275</v>
      </c>
      <c r="E5" s="4">
        <f>-N29</f>
        <v>-1275</v>
      </c>
      <c r="F5" s="4">
        <f>-N29</f>
        <v>-1275</v>
      </c>
      <c r="G5" s="4">
        <f>-N29</f>
        <v>-1275</v>
      </c>
      <c r="H5" s="4">
        <f>-N29</f>
        <v>-1275</v>
      </c>
      <c r="I5" s="4">
        <f>-N29</f>
        <v>-1275</v>
      </c>
      <c r="J5" s="4">
        <f>-N29</f>
        <v>-1275</v>
      </c>
      <c r="M5" s="11" t="s">
        <v>20</v>
      </c>
      <c r="N5" s="3">
        <f>(N1-N2)/N3</f>
        <v>900</v>
      </c>
      <c r="T5" s="3">
        <f>T4*R3</f>
        <v>11255.088100000001</v>
      </c>
      <c r="U5" t="s">
        <v>62</v>
      </c>
    </row>
    <row r="6" spans="1:21" x14ac:dyDescent="0.25">
      <c r="A6" t="s">
        <v>14</v>
      </c>
      <c r="B6" s="3">
        <f>-N31</f>
        <v>-1000</v>
      </c>
      <c r="C6" s="3">
        <f>-N32</f>
        <v>-1550</v>
      </c>
      <c r="D6" s="3">
        <f>-N33</f>
        <v>-51</v>
      </c>
      <c r="E6" s="3">
        <f>-N34</f>
        <v>-52.019999999999982</v>
      </c>
      <c r="F6" s="3">
        <f>-N35</f>
        <v>-53.060399999999845</v>
      </c>
      <c r="G6" s="3">
        <f>-N36</f>
        <v>-54.121607999999924</v>
      </c>
      <c r="H6" s="3">
        <f>-N37</f>
        <v>-55.204040160000204</v>
      </c>
      <c r="I6" s="3">
        <f>-N38</f>
        <v>-56.308120963200054</v>
      </c>
      <c r="J6" s="3">
        <f>N39</f>
        <v>2871.7141691232</v>
      </c>
      <c r="T6" s="3">
        <f>T5*R3</f>
        <v>11592.740743</v>
      </c>
      <c r="U6" t="s">
        <v>63</v>
      </c>
    </row>
    <row r="7" spans="1:21" x14ac:dyDescent="0.25">
      <c r="A7" s="21" t="s">
        <v>85</v>
      </c>
      <c r="F7" s="3">
        <f>-N23</f>
        <v>-3500</v>
      </c>
      <c r="M7" s="11" t="s">
        <v>22</v>
      </c>
      <c r="N7" s="11" t="s">
        <v>21</v>
      </c>
      <c r="O7" s="11" t="s">
        <v>23</v>
      </c>
      <c r="P7" s="11" t="s">
        <v>24</v>
      </c>
      <c r="T7" s="3">
        <f>T6*R3</f>
        <v>11940.52296529</v>
      </c>
      <c r="U7" t="s">
        <v>64</v>
      </c>
    </row>
    <row r="8" spans="1:21" x14ac:dyDescent="0.25">
      <c r="A8" s="21" t="s">
        <v>102</v>
      </c>
      <c r="F8" s="10">
        <f>N24-(N20*P24)</f>
        <v>810</v>
      </c>
      <c r="M8" s="3">
        <f>N1</f>
        <v>3000</v>
      </c>
      <c r="N8" s="3">
        <f>N1-N5</f>
        <v>2100</v>
      </c>
      <c r="O8" s="3">
        <f>N8-N5</f>
        <v>1200</v>
      </c>
      <c r="P8">
        <f>O8-N5</f>
        <v>300</v>
      </c>
      <c r="T8" s="3">
        <f>T7*R3</f>
        <v>12298.7386542487</v>
      </c>
      <c r="U8" t="s">
        <v>65</v>
      </c>
    </row>
    <row r="9" spans="1:21" x14ac:dyDescent="0.25">
      <c r="A9" s="21" t="s">
        <v>92</v>
      </c>
      <c r="F9" s="10"/>
      <c r="J9" s="4">
        <f>S53</f>
        <v>987.5</v>
      </c>
      <c r="M9" s="3"/>
      <c r="N9" s="3"/>
      <c r="O9" s="3"/>
      <c r="T9" s="3"/>
    </row>
    <row r="10" spans="1:21" x14ac:dyDescent="0.25">
      <c r="A10" s="12" t="s">
        <v>15</v>
      </c>
      <c r="B10" s="3">
        <f>SUM(B2:B9)</f>
        <v>-4000</v>
      </c>
      <c r="C10" s="3">
        <f t="shared" ref="C10:I10" si="0">SUM(C2:C9)</f>
        <v>-2825</v>
      </c>
      <c r="D10" s="3">
        <f t="shared" si="0"/>
        <v>-1326</v>
      </c>
      <c r="E10" s="3">
        <f t="shared" si="0"/>
        <v>-1327.02</v>
      </c>
      <c r="F10" s="3">
        <f>SUM(F2:F9)</f>
        <v>-4018.0604000000003</v>
      </c>
      <c r="G10" s="3">
        <f t="shared" si="0"/>
        <v>-1329.1216079999999</v>
      </c>
      <c r="H10" s="3">
        <f t="shared" si="0"/>
        <v>-1330.2040401600002</v>
      </c>
      <c r="I10" s="3">
        <f t="shared" si="0"/>
        <v>-1331.3081209632001</v>
      </c>
      <c r="J10" s="3">
        <f>SUM(J2:J9)</f>
        <v>2584.2141691232</v>
      </c>
    </row>
    <row r="11" spans="1:21" x14ac:dyDescent="0.25">
      <c r="M11" s="11" t="s">
        <v>25</v>
      </c>
      <c r="N11" s="3">
        <v>900</v>
      </c>
      <c r="R11" s="13" t="s">
        <v>51</v>
      </c>
    </row>
    <row r="12" spans="1:21" x14ac:dyDescent="0.25">
      <c r="M12" s="11" t="s">
        <v>26</v>
      </c>
      <c r="N12" s="3">
        <f>N2</f>
        <v>300</v>
      </c>
      <c r="R12" s="13" t="s">
        <v>83</v>
      </c>
      <c r="S12" s="6">
        <f>100%-35%</f>
        <v>0.65</v>
      </c>
    </row>
    <row r="13" spans="1:21" x14ac:dyDescent="0.25">
      <c r="A13" t="s">
        <v>1</v>
      </c>
      <c r="B13" s="13" t="s">
        <v>48</v>
      </c>
      <c r="C13" s="13" t="s">
        <v>2</v>
      </c>
      <c r="D13" s="13" t="s">
        <v>3</v>
      </c>
      <c r="E13" s="13" t="s">
        <v>4</v>
      </c>
      <c r="F13" s="13" t="s">
        <v>5</v>
      </c>
      <c r="G13" s="13" t="s">
        <v>6</v>
      </c>
      <c r="H13" s="13" t="s">
        <v>7</v>
      </c>
      <c r="I13" s="13" t="s">
        <v>8</v>
      </c>
      <c r="J13" s="13" t="s">
        <v>9</v>
      </c>
      <c r="M13" s="11" t="s">
        <v>27</v>
      </c>
      <c r="N13" s="3">
        <f>N11-N12</f>
        <v>600</v>
      </c>
      <c r="R13" s="14"/>
    </row>
    <row r="14" spans="1:21" x14ac:dyDescent="0.25">
      <c r="A14" t="s">
        <v>50</v>
      </c>
      <c r="C14" s="4">
        <f>T1</f>
        <v>10000</v>
      </c>
      <c r="D14" s="4">
        <f>T2</f>
        <v>10300</v>
      </c>
      <c r="E14" s="4">
        <f>T3</f>
        <v>10609</v>
      </c>
      <c r="F14" s="4">
        <f>T4</f>
        <v>10927.27</v>
      </c>
      <c r="G14" s="4">
        <f>T5</f>
        <v>11255.088100000001</v>
      </c>
      <c r="H14" s="4">
        <f>T6</f>
        <v>11592.740743</v>
      </c>
      <c r="I14" s="4">
        <f>T7</f>
        <v>11940.52296529</v>
      </c>
      <c r="J14" s="4">
        <f>T8</f>
        <v>12298.7386542487</v>
      </c>
      <c r="M14" s="11" t="s">
        <v>28</v>
      </c>
      <c r="N14" s="3">
        <f>N13*0.15</f>
        <v>90</v>
      </c>
      <c r="R14" s="13" t="s">
        <v>58</v>
      </c>
      <c r="S14" s="3">
        <f>T1*S12</f>
        <v>6500</v>
      </c>
    </row>
    <row r="15" spans="1:21" x14ac:dyDescent="0.25">
      <c r="A15" t="s">
        <v>51</v>
      </c>
      <c r="C15" s="4">
        <f>-S14</f>
        <v>-6500</v>
      </c>
      <c r="D15" s="4">
        <f>-S15</f>
        <v>-6695</v>
      </c>
      <c r="E15" s="4">
        <f>-S16</f>
        <v>-6895.85</v>
      </c>
      <c r="F15" s="4">
        <f>-S17</f>
        <v>-7102.7255000000005</v>
      </c>
      <c r="G15" s="4">
        <f>-S18</f>
        <v>-7315.8072650000004</v>
      </c>
      <c r="H15" s="4">
        <f>-S19</f>
        <v>-7535.2814829500003</v>
      </c>
      <c r="I15" s="4">
        <f>-S20</f>
        <v>-7761.3399274385001</v>
      </c>
      <c r="J15" s="4">
        <f>-S21</f>
        <v>-7994.1801252616551</v>
      </c>
      <c r="R15" s="13" t="s">
        <v>59</v>
      </c>
      <c r="S15" s="3">
        <f>T2*S12</f>
        <v>6695</v>
      </c>
    </row>
    <row r="16" spans="1:21" x14ac:dyDescent="0.25">
      <c r="A16" t="s">
        <v>52</v>
      </c>
      <c r="C16" s="3">
        <f>-V24</f>
        <v>-250</v>
      </c>
      <c r="D16" s="3">
        <f>-V25</f>
        <v>-310</v>
      </c>
      <c r="E16" s="3">
        <f>-V26</f>
        <v>-370</v>
      </c>
      <c r="F16" s="3">
        <f>-V27</f>
        <v>-430</v>
      </c>
      <c r="G16" s="3">
        <f>-V34</f>
        <v>-350</v>
      </c>
      <c r="H16" s="3">
        <f>-V35</f>
        <v>-400</v>
      </c>
      <c r="I16" s="3">
        <f>-V36</f>
        <v>-450</v>
      </c>
      <c r="J16" s="3">
        <f>-V37</f>
        <v>-500</v>
      </c>
      <c r="M16" s="11" t="s">
        <v>29</v>
      </c>
      <c r="N16" s="3">
        <f>N11-N14</f>
        <v>810</v>
      </c>
      <c r="R16" s="13" t="s">
        <v>60</v>
      </c>
      <c r="S16" s="3">
        <f>T3*S12</f>
        <v>6895.85</v>
      </c>
    </row>
    <row r="17" spans="1:22" x14ac:dyDescent="0.25">
      <c r="A17" t="s">
        <v>53</v>
      </c>
      <c r="C17" s="4">
        <f>-N5</f>
        <v>-900</v>
      </c>
      <c r="D17" s="4">
        <f>-N5</f>
        <v>-900</v>
      </c>
      <c r="E17" s="4">
        <f>-N5</f>
        <v>-900</v>
      </c>
      <c r="G17" s="26">
        <f>+F7*0.9/3</f>
        <v>-1050</v>
      </c>
      <c r="H17" s="27">
        <f>+G17</f>
        <v>-1050</v>
      </c>
      <c r="I17" s="27">
        <f>+H17</f>
        <v>-1050</v>
      </c>
      <c r="R17" s="13" t="s">
        <v>61</v>
      </c>
      <c r="S17" s="3">
        <f>T4*S12</f>
        <v>7102.7255000000005</v>
      </c>
    </row>
    <row r="18" spans="1:22" x14ac:dyDescent="0.25">
      <c r="A18" t="s">
        <v>54</v>
      </c>
      <c r="H18" s="4"/>
      <c r="I18" s="4"/>
      <c r="J18" s="4"/>
      <c r="M18" s="12" t="s">
        <v>30</v>
      </c>
      <c r="R18" s="13" t="s">
        <v>62</v>
      </c>
      <c r="S18" s="3">
        <f>T5*S12</f>
        <v>7315.8072650000004</v>
      </c>
    </row>
    <row r="19" spans="1:22" x14ac:dyDescent="0.25">
      <c r="M19" s="11" t="s">
        <v>31</v>
      </c>
      <c r="N19" s="3">
        <v>1200</v>
      </c>
      <c r="R19" s="13" t="s">
        <v>63</v>
      </c>
      <c r="S19" s="3">
        <f>T6*S12</f>
        <v>7535.2814829500003</v>
      </c>
    </row>
    <row r="20" spans="1:22" ht="30" x14ac:dyDescent="0.25">
      <c r="A20" s="16" t="s">
        <v>69</v>
      </c>
      <c r="B20" s="3">
        <f>SUM(B17:B18)</f>
        <v>0</v>
      </c>
      <c r="C20" s="4">
        <f>SUM(C14:C18)</f>
        <v>2350</v>
      </c>
      <c r="D20" s="4">
        <f t="shared" ref="D20:I20" si="1">SUM(D14:D18)</f>
        <v>2395</v>
      </c>
      <c r="E20" s="4">
        <f t="shared" si="1"/>
        <v>2443.1499999999996</v>
      </c>
      <c r="F20" s="4">
        <f t="shared" si="1"/>
        <v>3394.5445</v>
      </c>
      <c r="G20" s="4">
        <f t="shared" si="1"/>
        <v>2539.2808350000005</v>
      </c>
      <c r="H20" s="4">
        <f t="shared" si="1"/>
        <v>2607.45926005</v>
      </c>
      <c r="I20" s="4">
        <f t="shared" si="1"/>
        <v>2679.1830378514996</v>
      </c>
      <c r="J20" s="4">
        <f>SUM(J14:J18)</f>
        <v>3804.5585289870451</v>
      </c>
      <c r="M20" s="11" t="s">
        <v>33</v>
      </c>
      <c r="N20" s="5">
        <v>0.15</v>
      </c>
      <c r="R20" s="13" t="s">
        <v>64</v>
      </c>
      <c r="S20" s="3">
        <f>T7*S12</f>
        <v>7761.3399274385001</v>
      </c>
    </row>
    <row r="21" spans="1:22" x14ac:dyDescent="0.25">
      <c r="A21" s="13" t="s">
        <v>70</v>
      </c>
      <c r="B21" s="4">
        <f>B20*0.15</f>
        <v>0</v>
      </c>
      <c r="C21" s="4">
        <f t="shared" ref="C21:J21" si="2">-C20*0.15</f>
        <v>-352.5</v>
      </c>
      <c r="D21" s="3">
        <f t="shared" si="2"/>
        <v>-359.25</v>
      </c>
      <c r="E21" s="4">
        <f t="shared" si="2"/>
        <v>-366.47249999999991</v>
      </c>
      <c r="F21" s="4">
        <f t="shared" si="2"/>
        <v>-509.18167499999998</v>
      </c>
      <c r="G21" s="4">
        <f t="shared" si="2"/>
        <v>-380.89212525000005</v>
      </c>
      <c r="H21" s="4">
        <f t="shared" si="2"/>
        <v>-391.1188890075</v>
      </c>
      <c r="I21" s="4">
        <f t="shared" si="2"/>
        <v>-401.87745567772492</v>
      </c>
      <c r="J21" s="4">
        <f t="shared" si="2"/>
        <v>-570.68377934805676</v>
      </c>
      <c r="M21" s="11" t="s">
        <v>78</v>
      </c>
      <c r="N21" s="7">
        <v>0.02</v>
      </c>
      <c r="O21">
        <v>1.02</v>
      </c>
      <c r="R21" s="13" t="s">
        <v>65</v>
      </c>
      <c r="S21" s="3">
        <f>T8*S12</f>
        <v>7994.1801252616551</v>
      </c>
    </row>
    <row r="22" spans="1:22" x14ac:dyDescent="0.25">
      <c r="M22" s="11" t="s">
        <v>46</v>
      </c>
      <c r="N22">
        <v>0.125</v>
      </c>
    </row>
    <row r="23" spans="1:22" x14ac:dyDescent="0.25">
      <c r="A23" s="15" t="s">
        <v>71</v>
      </c>
      <c r="B23" s="3">
        <f>B22</f>
        <v>0</v>
      </c>
      <c r="C23" s="4">
        <f>SUM(C20:C21)</f>
        <v>1997.5</v>
      </c>
      <c r="D23" s="4">
        <f>SUM(D20:D21)</f>
        <v>2035.75</v>
      </c>
      <c r="E23" s="4">
        <f>SUM(E20:E21)</f>
        <v>2076.6774999999998</v>
      </c>
      <c r="F23" s="4">
        <f>SUM(F20:F22)</f>
        <v>2885.3628250000002</v>
      </c>
      <c r="G23" s="4">
        <f>SUM(G20:G22)</f>
        <v>2158.3887097500005</v>
      </c>
      <c r="H23" s="4">
        <f>SUM(H20:H22)</f>
        <v>2216.3403710425</v>
      </c>
      <c r="I23" s="4">
        <f>SUM(I20:I21)</f>
        <v>2277.3055821737748</v>
      </c>
      <c r="J23" s="4">
        <f>SUM(J20:J22)</f>
        <v>3233.8747496389883</v>
      </c>
      <c r="M23" s="11" t="s">
        <v>86</v>
      </c>
      <c r="N23" s="18">
        <v>3500</v>
      </c>
      <c r="O23" s="24" t="s">
        <v>100</v>
      </c>
      <c r="P23" s="10">
        <f>N23-900</f>
        <v>2600</v>
      </c>
      <c r="R23" s="15" t="s">
        <v>30</v>
      </c>
    </row>
    <row r="24" spans="1:22" x14ac:dyDescent="0.25">
      <c r="A24" s="13" t="s">
        <v>72</v>
      </c>
      <c r="B24" s="3">
        <f>B23</f>
        <v>0</v>
      </c>
      <c r="C24" s="4">
        <f>N5</f>
        <v>900</v>
      </c>
      <c r="D24" s="4">
        <f>+C24</f>
        <v>900</v>
      </c>
      <c r="E24" s="4">
        <f>+D24</f>
        <v>900</v>
      </c>
      <c r="F24" s="3">
        <f>O27</f>
        <v>0</v>
      </c>
      <c r="G24" s="3">
        <f>-G17</f>
        <v>1050</v>
      </c>
      <c r="H24" s="3">
        <f>+G24</f>
        <v>1050</v>
      </c>
      <c r="I24" s="3">
        <f>+H24</f>
        <v>1050</v>
      </c>
      <c r="J24" s="3"/>
      <c r="M24" s="11" t="s">
        <v>87</v>
      </c>
      <c r="N24" s="10">
        <v>900</v>
      </c>
      <c r="O24" s="24" t="s">
        <v>87</v>
      </c>
      <c r="P24">
        <f>900-P8</f>
        <v>600</v>
      </c>
      <c r="R24" s="13" t="s">
        <v>67</v>
      </c>
      <c r="S24">
        <v>250</v>
      </c>
      <c r="U24" s="13" t="s">
        <v>58</v>
      </c>
      <c r="V24">
        <f>S24</f>
        <v>250</v>
      </c>
    </row>
    <row r="25" spans="1:22" x14ac:dyDescent="0.25">
      <c r="N25" s="5"/>
      <c r="R25" s="13" t="s">
        <v>82</v>
      </c>
      <c r="S25">
        <v>60</v>
      </c>
      <c r="U25" s="13" t="s">
        <v>59</v>
      </c>
      <c r="V25">
        <f>V24+S25</f>
        <v>310</v>
      </c>
    </row>
    <row r="26" spans="1:22" x14ac:dyDescent="0.25">
      <c r="A26" s="15" t="s">
        <v>73</v>
      </c>
      <c r="B26" s="4">
        <f t="shared" ref="B26:G26" si="3">SUM(B23:B24)</f>
        <v>0</v>
      </c>
      <c r="C26" s="4">
        <f t="shared" si="3"/>
        <v>2897.5</v>
      </c>
      <c r="D26" s="4">
        <f t="shared" si="3"/>
        <v>2935.75</v>
      </c>
      <c r="E26" s="4">
        <f t="shared" si="3"/>
        <v>2976.6774999999998</v>
      </c>
      <c r="F26" s="4">
        <f t="shared" si="3"/>
        <v>2885.3628250000002</v>
      </c>
      <c r="G26" s="4">
        <f t="shared" si="3"/>
        <v>3208.3887097500005</v>
      </c>
      <c r="H26" s="4">
        <f>SUM(H23:H25)</f>
        <v>3266.3403710425</v>
      </c>
      <c r="I26" s="4">
        <f>SUM(I23:I24)</f>
        <v>3327.3055821737748</v>
      </c>
      <c r="J26" s="4">
        <f>SUM(J23:J24)</f>
        <v>3233.8747496389883</v>
      </c>
      <c r="M26" s="11" t="s">
        <v>32</v>
      </c>
      <c r="N26" t="s">
        <v>35</v>
      </c>
      <c r="U26" s="13" t="s">
        <v>60</v>
      </c>
      <c r="V26">
        <f>V25+S25</f>
        <v>370</v>
      </c>
    </row>
    <row r="27" spans="1:22" x14ac:dyDescent="0.25">
      <c r="N27" s="4">
        <v>1500</v>
      </c>
      <c r="U27" s="13" t="s">
        <v>61</v>
      </c>
      <c r="V27">
        <f>V26+S25</f>
        <v>430</v>
      </c>
    </row>
    <row r="28" spans="1:22" x14ac:dyDescent="0.25">
      <c r="N28" s="3" t="s">
        <v>34</v>
      </c>
      <c r="R28" s="17" t="s">
        <v>76</v>
      </c>
      <c r="S28" s="5">
        <v>0.08</v>
      </c>
      <c r="U28" s="14"/>
    </row>
    <row r="29" spans="1:22" x14ac:dyDescent="0.25">
      <c r="A29" s="17" t="s">
        <v>74</v>
      </c>
      <c r="B29" s="4">
        <f t="shared" ref="B29:J29" si="4">B10+B26</f>
        <v>-4000</v>
      </c>
      <c r="C29" s="4">
        <f t="shared" si="4"/>
        <v>72.5</v>
      </c>
      <c r="D29" s="4">
        <f t="shared" si="4"/>
        <v>1609.75</v>
      </c>
      <c r="E29" s="4">
        <f t="shared" si="4"/>
        <v>1649.6574999999998</v>
      </c>
      <c r="F29" s="4">
        <f t="shared" si="4"/>
        <v>-1132.6975750000001</v>
      </c>
      <c r="G29" s="4">
        <f t="shared" si="4"/>
        <v>1879.2671017500006</v>
      </c>
      <c r="H29" s="4">
        <f t="shared" si="4"/>
        <v>1936.1363308824998</v>
      </c>
      <c r="I29" s="4">
        <f t="shared" si="4"/>
        <v>1995.9974612105748</v>
      </c>
      <c r="J29" s="4">
        <f t="shared" si="4"/>
        <v>5818.0889187621888</v>
      </c>
      <c r="N29" s="4">
        <f>N27*(100%-15%)</f>
        <v>1275</v>
      </c>
      <c r="U29" s="14"/>
    </row>
    <row r="30" spans="1:22" x14ac:dyDescent="0.25">
      <c r="A30" s="17" t="s">
        <v>75</v>
      </c>
      <c r="B30" s="4">
        <f>B29</f>
        <v>-4000</v>
      </c>
      <c r="C30" s="3">
        <f>C29/(1+S28)</f>
        <v>67.129629629629619</v>
      </c>
      <c r="D30" s="3">
        <f>D29/(1+S28)^2</f>
        <v>1380.1011659807955</v>
      </c>
      <c r="E30" s="3">
        <f>E29/(1+S28)^3</f>
        <v>1309.5513101407303</v>
      </c>
      <c r="F30" s="3">
        <f>F29/(1+S28)^4</f>
        <v>-832.56653181514969</v>
      </c>
      <c r="G30" s="3">
        <f>G29/(1+S28)^5</f>
        <v>1278.9976121893706</v>
      </c>
      <c r="H30" s="3">
        <f>H29/(1+S28)^6</f>
        <v>1220.0943092270479</v>
      </c>
      <c r="I30" s="3">
        <f>I29/(1+S28)^7</f>
        <v>1164.6453475839739</v>
      </c>
      <c r="J30" s="3">
        <f>J29/(1+S28)^8</f>
        <v>3143.3324100729542</v>
      </c>
      <c r="M30" s="11" t="s">
        <v>36</v>
      </c>
      <c r="N30" s="9"/>
      <c r="U30" s="14"/>
    </row>
    <row r="31" spans="1:22" x14ac:dyDescent="0.25">
      <c r="L31" s="11" t="s">
        <v>37</v>
      </c>
      <c r="M31">
        <v>1000000</v>
      </c>
      <c r="N31">
        <v>1000</v>
      </c>
      <c r="O31">
        <f>M31*N21*N22</f>
        <v>2500</v>
      </c>
      <c r="U31" s="14"/>
    </row>
    <row r="32" spans="1:22" x14ac:dyDescent="0.25">
      <c r="A32" s="17" t="s">
        <v>77</v>
      </c>
      <c r="B32" s="4">
        <f>B30+C30+D30+E30+F30+G30+H30+I30+J30</f>
        <v>4731.2852530093523</v>
      </c>
      <c r="L32" s="11" t="s">
        <v>38</v>
      </c>
      <c r="M32" s="8">
        <f>O31*O21</f>
        <v>2550</v>
      </c>
      <c r="N32" s="8">
        <f>M32-N31</f>
        <v>1550</v>
      </c>
    </row>
    <row r="33" spans="12:22" x14ac:dyDescent="0.25">
      <c r="L33" s="11" t="s">
        <v>39</v>
      </c>
      <c r="M33" s="8">
        <f>M32*O21</f>
        <v>2601</v>
      </c>
      <c r="N33" s="8">
        <f t="shared" ref="N33:N38" si="5">M33-M32</f>
        <v>51</v>
      </c>
      <c r="R33" s="20" t="s">
        <v>88</v>
      </c>
    </row>
    <row r="34" spans="12:22" x14ac:dyDescent="0.25">
      <c r="L34" s="11" t="s">
        <v>40</v>
      </c>
      <c r="M34" s="8">
        <f>M33*O21</f>
        <v>2653.02</v>
      </c>
      <c r="N34" s="8">
        <f t="shared" si="5"/>
        <v>52.019999999999982</v>
      </c>
      <c r="R34" s="19" t="s">
        <v>67</v>
      </c>
      <c r="S34">
        <v>350</v>
      </c>
      <c r="U34" s="19" t="s">
        <v>62</v>
      </c>
      <c r="V34">
        <v>350</v>
      </c>
    </row>
    <row r="35" spans="12:22" x14ac:dyDescent="0.25">
      <c r="L35" s="11" t="s">
        <v>41</v>
      </c>
      <c r="M35" s="8">
        <f>M34*O21</f>
        <v>2706.0803999999998</v>
      </c>
      <c r="N35" s="8">
        <f t="shared" si="5"/>
        <v>53.060399999999845</v>
      </c>
      <c r="R35" s="19" t="s">
        <v>89</v>
      </c>
      <c r="S35">
        <v>50</v>
      </c>
      <c r="U35" s="19" t="s">
        <v>63</v>
      </c>
      <c r="V35">
        <f>V34+50</f>
        <v>400</v>
      </c>
    </row>
    <row r="36" spans="12:22" x14ac:dyDescent="0.25">
      <c r="L36" s="11" t="s">
        <v>42</v>
      </c>
      <c r="M36" s="8">
        <f>M35*O21</f>
        <v>2760.2020079999998</v>
      </c>
      <c r="N36" s="8">
        <f t="shared" si="5"/>
        <v>54.121607999999924</v>
      </c>
      <c r="U36" s="19" t="s">
        <v>64</v>
      </c>
      <c r="V36">
        <f>V35+S35</f>
        <v>450</v>
      </c>
    </row>
    <row r="37" spans="12:22" x14ac:dyDescent="0.25">
      <c r="L37" s="11" t="s">
        <v>43</v>
      </c>
      <c r="M37" s="8">
        <f>M36*O21</f>
        <v>2815.40604816</v>
      </c>
      <c r="N37" s="8">
        <f t="shared" si="5"/>
        <v>55.204040160000204</v>
      </c>
      <c r="U37" s="19" t="s">
        <v>65</v>
      </c>
      <c r="V37">
        <f>V36+S35</f>
        <v>500</v>
      </c>
    </row>
    <row r="38" spans="12:22" x14ac:dyDescent="0.25">
      <c r="L38" s="11" t="s">
        <v>44</v>
      </c>
      <c r="M38" s="8">
        <f>M37*O21</f>
        <v>2871.7141691232</v>
      </c>
      <c r="N38" s="8">
        <f t="shared" si="5"/>
        <v>56.308120963200054</v>
      </c>
    </row>
    <row r="39" spans="12:22" x14ac:dyDescent="0.25">
      <c r="N39" s="8">
        <f>M38</f>
        <v>2871.7141691232</v>
      </c>
      <c r="O39" t="s">
        <v>47</v>
      </c>
      <c r="R39" s="22" t="s">
        <v>93</v>
      </c>
      <c r="S39" s="23">
        <v>3500</v>
      </c>
      <c r="T39" s="25"/>
      <c r="U39" s="3"/>
    </row>
    <row r="40" spans="12:22" x14ac:dyDescent="0.25">
      <c r="R40" s="22" t="s">
        <v>91</v>
      </c>
      <c r="S40" s="3">
        <v>1100</v>
      </c>
      <c r="U40" s="4"/>
    </row>
    <row r="41" spans="12:22" x14ac:dyDescent="0.25">
      <c r="R41" s="21" t="s">
        <v>17</v>
      </c>
      <c r="S41" s="4">
        <f>S39*10%</f>
        <v>350</v>
      </c>
    </row>
    <row r="42" spans="12:22" x14ac:dyDescent="0.25">
      <c r="R42" s="21" t="s">
        <v>18</v>
      </c>
      <c r="S42">
        <v>3</v>
      </c>
      <c r="T42" t="s">
        <v>19</v>
      </c>
    </row>
    <row r="44" spans="12:22" x14ac:dyDescent="0.25">
      <c r="R44" s="21" t="s">
        <v>20</v>
      </c>
      <c r="S44" s="3">
        <f>(S39-S41)/S42</f>
        <v>1050</v>
      </c>
    </row>
    <row r="46" spans="12:22" x14ac:dyDescent="0.25">
      <c r="R46" s="21" t="s">
        <v>97</v>
      </c>
      <c r="S46" s="21" t="s">
        <v>94</v>
      </c>
      <c r="T46" s="21" t="s">
        <v>95</v>
      </c>
      <c r="U46" s="21" t="s">
        <v>96</v>
      </c>
    </row>
    <row r="47" spans="12:22" x14ac:dyDescent="0.25">
      <c r="R47" s="4">
        <v>3500</v>
      </c>
      <c r="S47" s="4">
        <f>R47-S44</f>
        <v>2450</v>
      </c>
      <c r="T47" s="4">
        <f>S47-S44</f>
        <v>1400</v>
      </c>
      <c r="U47" s="4">
        <f>T47-S44</f>
        <v>350</v>
      </c>
    </row>
    <row r="49" spans="18:19" x14ac:dyDescent="0.25">
      <c r="R49" s="21" t="s">
        <v>26</v>
      </c>
      <c r="S49" s="10">
        <f>U47</f>
        <v>350</v>
      </c>
    </row>
    <row r="50" spans="18:19" x14ac:dyDescent="0.25">
      <c r="R50" s="21" t="s">
        <v>27</v>
      </c>
      <c r="S50" s="10">
        <f>S40-S49</f>
        <v>750</v>
      </c>
    </row>
    <row r="51" spans="18:19" x14ac:dyDescent="0.25">
      <c r="R51" s="21" t="s">
        <v>98</v>
      </c>
      <c r="S51" s="4">
        <f>S50*15%</f>
        <v>112.5</v>
      </c>
    </row>
    <row r="53" spans="18:19" x14ac:dyDescent="0.25">
      <c r="R53" s="21" t="s">
        <v>99</v>
      </c>
      <c r="S53" s="4">
        <f>S40-S51</f>
        <v>987.5</v>
      </c>
    </row>
  </sheetData>
  <pageMargins left="0.7" right="0.7" top="0.75" bottom="0.75" header="0.3" footer="0.3"/>
  <pageSetup orientation="portrait" r:id="rId1"/>
  <ignoredErrors>
    <ignoredError sqref="E21:H26 I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Propuesta P1</vt:lpstr>
      <vt:lpstr>Propuesta P2</vt:lpstr>
      <vt:lpstr>Propuesta P3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Hermosilla Sandoval</dc:creator>
  <cp:lastModifiedBy>Andres Cabrera</cp:lastModifiedBy>
  <dcterms:created xsi:type="dcterms:W3CDTF">2025-10-18T10:58:35Z</dcterms:created>
  <dcterms:modified xsi:type="dcterms:W3CDTF">2025-10-23T02:24:31Z</dcterms:modified>
</cp:coreProperties>
</file>