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ropbox\Universidad\UAI\Finanzas\2024 - 1\Láminas Clases\"/>
    </mc:Choice>
  </mc:AlternateContent>
  <xr:revisionPtr revIDLastSave="0" documentId="8_{B4B1817B-DFC4-4E5F-A674-571971256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tical" sheetId="1" r:id="rId1"/>
    <sheet name="Horizontal" sheetId="4" r:id="rId2"/>
    <sheet name="Ratios" sheetId="2" r:id="rId3"/>
    <sheet name="Comparativo" sheetId="5" r:id="rId4"/>
    <sheet name="Du Pont" sheetId="6" r:id="rId5"/>
  </sheets>
  <calcPr calcId="191029"/>
</workbook>
</file>

<file path=xl/calcChain.xml><?xml version="1.0" encoding="utf-8"?>
<calcChain xmlns="http://schemas.openxmlformats.org/spreadsheetml/2006/main">
  <c r="C8" i="6" l="1"/>
  <c r="I61" i="2"/>
  <c r="G61" i="2"/>
  <c r="D62" i="2"/>
  <c r="E61" i="2" s="1"/>
  <c r="H52" i="2"/>
  <c r="F52" i="2"/>
  <c r="D52" i="2"/>
  <c r="D92" i="2"/>
  <c r="E92" i="2" s="1"/>
  <c r="I89" i="2"/>
  <c r="G89" i="2"/>
  <c r="E89" i="2"/>
  <c r="I86" i="2"/>
  <c r="G86" i="2"/>
  <c r="E86" i="2"/>
  <c r="I83" i="2"/>
  <c r="E6" i="5" s="1"/>
  <c r="G83" i="2"/>
  <c r="D6" i="5" s="1"/>
  <c r="E83" i="2"/>
  <c r="C6" i="5" s="1"/>
  <c r="I80" i="2"/>
  <c r="E4" i="5" s="1"/>
  <c r="G80" i="2"/>
  <c r="D4" i="5" s="1"/>
  <c r="E80" i="2"/>
  <c r="C4" i="5" s="1"/>
  <c r="H76" i="2"/>
  <c r="H75" i="2"/>
  <c r="F76" i="2"/>
  <c r="F75" i="2"/>
  <c r="D76" i="2"/>
  <c r="E75" i="2" s="1"/>
  <c r="I12" i="6" s="1"/>
  <c r="D75" i="2"/>
  <c r="I75" i="2"/>
  <c r="I16" i="6" s="1"/>
  <c r="H72" i="2"/>
  <c r="I72" i="2" s="1"/>
  <c r="F72" i="2"/>
  <c r="G72" i="2" s="1"/>
  <c r="D72" i="2"/>
  <c r="E72" i="2"/>
  <c r="I69" i="2"/>
  <c r="G69" i="2"/>
  <c r="E69" i="2"/>
  <c r="I66" i="2"/>
  <c r="E8" i="5" s="1"/>
  <c r="G66" i="2"/>
  <c r="D8" i="5" s="1"/>
  <c r="E66" i="2"/>
  <c r="C8" i="5" s="1"/>
  <c r="H47" i="2"/>
  <c r="F47" i="2"/>
  <c r="G46" i="2" s="1"/>
  <c r="D47" i="2"/>
  <c r="E46" i="2" s="1"/>
  <c r="H41" i="2"/>
  <c r="I40" i="2" s="1"/>
  <c r="G16" i="6" s="1"/>
  <c r="F41" i="2"/>
  <c r="D41" i="2"/>
  <c r="E40" i="2" s="1"/>
  <c r="G12" i="6" s="1"/>
  <c r="H40" i="2"/>
  <c r="H43" i="2" s="1"/>
  <c r="F40" i="2"/>
  <c r="F43" i="2" s="1"/>
  <c r="D40" i="2"/>
  <c r="D43" i="2" s="1"/>
  <c r="H34" i="2"/>
  <c r="I34" i="2" s="1"/>
  <c r="E14" i="5" s="1"/>
  <c r="F34" i="2"/>
  <c r="D34" i="2"/>
  <c r="E34" i="2" s="1"/>
  <c r="C14" i="5" s="1"/>
  <c r="H37" i="2"/>
  <c r="I37" i="2" s="1"/>
  <c r="E16" i="6" s="1"/>
  <c r="F37" i="2"/>
  <c r="F97" i="2" s="1"/>
  <c r="G97" i="2" s="1"/>
  <c r="F101" i="2" s="1"/>
  <c r="G100" i="2" s="1"/>
  <c r="D37" i="2"/>
  <c r="E37" i="2" s="1"/>
  <c r="E12" i="6" s="1"/>
  <c r="I46" i="2"/>
  <c r="G40" i="2"/>
  <c r="G14" i="6" s="1"/>
  <c r="G34" i="2"/>
  <c r="D14" i="5" s="1"/>
  <c r="I31" i="2"/>
  <c r="G31" i="2"/>
  <c r="E31" i="2"/>
  <c r="I28" i="2"/>
  <c r="G28" i="2"/>
  <c r="E28" i="2"/>
  <c r="H23" i="2"/>
  <c r="I22" i="2" s="1"/>
  <c r="E18" i="5" s="1"/>
  <c r="F23" i="2"/>
  <c r="G22" i="2" s="1"/>
  <c r="D18" i="5" s="1"/>
  <c r="D23" i="2"/>
  <c r="E22" i="2" s="1"/>
  <c r="C18" i="5" s="1"/>
  <c r="I18" i="2"/>
  <c r="G18" i="2"/>
  <c r="E18" i="2"/>
  <c r="H13" i="2"/>
  <c r="I12" i="2" s="1"/>
  <c r="E16" i="5" s="1"/>
  <c r="F13" i="2"/>
  <c r="G12" i="2" s="1"/>
  <c r="D16" i="5" s="1"/>
  <c r="D13" i="2"/>
  <c r="E12" i="2" s="1"/>
  <c r="C16" i="5" s="1"/>
  <c r="I8" i="2"/>
  <c r="G8" i="2"/>
  <c r="E8" i="2"/>
  <c r="G54" i="1"/>
  <c r="H54" i="1"/>
  <c r="I54" i="1"/>
  <c r="G45" i="1"/>
  <c r="H45" i="1"/>
  <c r="I45" i="1"/>
  <c r="G46" i="1"/>
  <c r="H46" i="1"/>
  <c r="I46" i="1"/>
  <c r="I44" i="1"/>
  <c r="H44" i="1"/>
  <c r="G44" i="1"/>
  <c r="I40" i="1"/>
  <c r="I42" i="1" s="1"/>
  <c r="H40" i="1"/>
  <c r="H42" i="1" s="1"/>
  <c r="G40" i="1"/>
  <c r="G42" i="1" s="1"/>
  <c r="I54" i="4"/>
  <c r="H54" i="4"/>
  <c r="E50" i="4"/>
  <c r="D50" i="4"/>
  <c r="C50" i="4"/>
  <c r="I46" i="4"/>
  <c r="H46" i="4"/>
  <c r="I45" i="4"/>
  <c r="H45" i="4"/>
  <c r="I44" i="4"/>
  <c r="H44" i="4"/>
  <c r="E42" i="4"/>
  <c r="E48" i="4" s="1"/>
  <c r="D42" i="4"/>
  <c r="C42" i="4"/>
  <c r="C48" i="4" s="1"/>
  <c r="I40" i="4"/>
  <c r="H40" i="4"/>
  <c r="I39" i="4"/>
  <c r="H39" i="4"/>
  <c r="E50" i="1"/>
  <c r="I50" i="1" s="1"/>
  <c r="D50" i="1"/>
  <c r="H50" i="1" s="1"/>
  <c r="C50" i="1"/>
  <c r="G50" i="1" s="1"/>
  <c r="D42" i="1"/>
  <c r="D48" i="1" s="1"/>
  <c r="E42" i="1"/>
  <c r="E48" i="1" s="1"/>
  <c r="C42" i="1"/>
  <c r="C48" i="1" s="1"/>
  <c r="H6" i="4"/>
  <c r="I6" i="4"/>
  <c r="H7" i="4"/>
  <c r="I7" i="4"/>
  <c r="H10" i="4"/>
  <c r="I10" i="4"/>
  <c r="H11" i="4"/>
  <c r="I11" i="4"/>
  <c r="H17" i="4"/>
  <c r="I17" i="4"/>
  <c r="H18" i="4"/>
  <c r="I18" i="4"/>
  <c r="H19" i="4"/>
  <c r="I19" i="4"/>
  <c r="H23" i="4"/>
  <c r="I23" i="4"/>
  <c r="H24" i="4"/>
  <c r="I24" i="4"/>
  <c r="H28" i="4"/>
  <c r="I28" i="4"/>
  <c r="H29" i="4"/>
  <c r="I29" i="4"/>
  <c r="I5" i="4"/>
  <c r="H5" i="4"/>
  <c r="E31" i="4"/>
  <c r="D31" i="4"/>
  <c r="C31" i="4"/>
  <c r="E26" i="4"/>
  <c r="D26" i="4"/>
  <c r="C26" i="4"/>
  <c r="E21" i="4"/>
  <c r="D21" i="4"/>
  <c r="C21" i="4"/>
  <c r="E12" i="4"/>
  <c r="D12" i="4"/>
  <c r="H12" i="4" s="1"/>
  <c r="C12" i="4"/>
  <c r="E8" i="4"/>
  <c r="D8" i="4"/>
  <c r="D14" i="4" s="1"/>
  <c r="C8" i="4"/>
  <c r="D12" i="1"/>
  <c r="E12" i="1"/>
  <c r="C12" i="1"/>
  <c r="D31" i="1"/>
  <c r="E31" i="1"/>
  <c r="D26" i="1"/>
  <c r="E26" i="1"/>
  <c r="D21" i="1"/>
  <c r="E21" i="1"/>
  <c r="C31" i="1"/>
  <c r="C26" i="1"/>
  <c r="C21" i="1"/>
  <c r="E8" i="1"/>
  <c r="E14" i="1" s="1"/>
  <c r="I11" i="1" s="1"/>
  <c r="D8" i="1"/>
  <c r="C8" i="1"/>
  <c r="C14" i="1" s="1"/>
  <c r="G75" i="2" l="1"/>
  <c r="I14" i="6" s="1"/>
  <c r="F8" i="5"/>
  <c r="F18" i="5"/>
  <c r="G37" i="2"/>
  <c r="E14" i="6" s="1"/>
  <c r="E18" i="6" s="1"/>
  <c r="F6" i="5"/>
  <c r="I7" i="1"/>
  <c r="I10" i="1"/>
  <c r="I12" i="1" s="1"/>
  <c r="I8" i="4"/>
  <c r="I21" i="4"/>
  <c r="H26" i="4"/>
  <c r="I31" i="4"/>
  <c r="I12" i="4"/>
  <c r="H21" i="4"/>
  <c r="I26" i="4"/>
  <c r="H31" i="4"/>
  <c r="H42" i="4"/>
  <c r="G48" i="1"/>
  <c r="C52" i="1"/>
  <c r="D52" i="1"/>
  <c r="H48" i="1"/>
  <c r="E52" i="1"/>
  <c r="I48" i="1"/>
  <c r="C12" i="6"/>
  <c r="G18" i="6"/>
  <c r="F16" i="5"/>
  <c r="F14" i="5"/>
  <c r="C14" i="6"/>
  <c r="C16" i="6"/>
  <c r="F4" i="5"/>
  <c r="I18" i="6"/>
  <c r="I6" i="1"/>
  <c r="C33" i="4"/>
  <c r="G33" i="4" s="1"/>
  <c r="E33" i="4"/>
  <c r="H8" i="4"/>
  <c r="C52" i="4"/>
  <c r="C56" i="4" s="1"/>
  <c r="H50" i="4"/>
  <c r="I8" i="1"/>
  <c r="D97" i="2"/>
  <c r="E97" i="2" s="1"/>
  <c r="D101" i="2" s="1"/>
  <c r="E100" i="2" s="1"/>
  <c r="I50" i="4"/>
  <c r="H97" i="2"/>
  <c r="I97" i="2" s="1"/>
  <c r="H101" i="2" s="1"/>
  <c r="I100" i="2" s="1"/>
  <c r="F49" i="2"/>
  <c r="F53" i="2" s="1"/>
  <c r="G52" i="2" s="1"/>
  <c r="D12" i="5" s="1"/>
  <c r="G43" i="2"/>
  <c r="D10" i="5" s="1"/>
  <c r="E43" i="2"/>
  <c r="C10" i="5" s="1"/>
  <c r="D49" i="2"/>
  <c r="D53" i="2" s="1"/>
  <c r="E52" i="2" s="1"/>
  <c r="C12" i="5" s="1"/>
  <c r="H49" i="2"/>
  <c r="H53" i="2" s="1"/>
  <c r="I52" i="2" s="1"/>
  <c r="E12" i="5" s="1"/>
  <c r="I43" i="2"/>
  <c r="E10" i="5" s="1"/>
  <c r="E52" i="4"/>
  <c r="I48" i="4"/>
  <c r="I42" i="4"/>
  <c r="D48" i="4"/>
  <c r="I5" i="1"/>
  <c r="C14" i="4"/>
  <c r="H14" i="4" s="1"/>
  <c r="E14" i="4"/>
  <c r="D33" i="4"/>
  <c r="C33" i="1"/>
  <c r="E33" i="1"/>
  <c r="I26" i="1" s="1"/>
  <c r="D33" i="1"/>
  <c r="D14" i="1"/>
  <c r="H8" i="1" s="1"/>
  <c r="G11" i="1"/>
  <c r="G8" i="1"/>
  <c r="G6" i="1"/>
  <c r="G5" i="1"/>
  <c r="G10" i="1"/>
  <c r="G7" i="1"/>
  <c r="G26" i="1" l="1"/>
  <c r="G17" i="1"/>
  <c r="G28" i="1"/>
  <c r="G31" i="1"/>
  <c r="G33" i="1"/>
  <c r="G24" i="1"/>
  <c r="G23" i="1"/>
  <c r="G18" i="1"/>
  <c r="G29" i="1"/>
  <c r="G19" i="1"/>
  <c r="G21" i="1"/>
  <c r="I14" i="4"/>
  <c r="F12" i="5"/>
  <c r="E56" i="1"/>
  <c r="I56" i="1" s="1"/>
  <c r="I52" i="1"/>
  <c r="D56" i="1"/>
  <c r="H56" i="1" s="1"/>
  <c r="H52" i="1"/>
  <c r="C56" i="1"/>
  <c r="G56" i="1" s="1"/>
  <c r="G52" i="1"/>
  <c r="F10" i="5"/>
  <c r="H33" i="4"/>
  <c r="I33" i="4"/>
  <c r="C18" i="6"/>
  <c r="D55" i="2"/>
  <c r="E49" i="2"/>
  <c r="H55" i="2"/>
  <c r="I49" i="2"/>
  <c r="G49" i="2"/>
  <c r="F55" i="2"/>
  <c r="I52" i="4"/>
  <c r="E56" i="4"/>
  <c r="I56" i="4" s="1"/>
  <c r="D52" i="4"/>
  <c r="H48" i="4"/>
  <c r="H11" i="1"/>
  <c r="H6" i="1"/>
  <c r="H7" i="1"/>
  <c r="H10" i="1"/>
  <c r="H5" i="1"/>
  <c r="G12" i="1"/>
  <c r="I14" i="1"/>
  <c r="H17" i="1"/>
  <c r="H18" i="1"/>
  <c r="H19" i="1"/>
  <c r="H23" i="1"/>
  <c r="H24" i="1"/>
  <c r="H28" i="1"/>
  <c r="H29" i="1"/>
  <c r="H33" i="1"/>
  <c r="I18" i="1"/>
  <c r="I19" i="1"/>
  <c r="I23" i="1"/>
  <c r="I24" i="1"/>
  <c r="I28" i="1"/>
  <c r="I29" i="1"/>
  <c r="I33" i="1"/>
  <c r="I17" i="1"/>
  <c r="H26" i="1"/>
  <c r="I31" i="1"/>
  <c r="I21" i="1"/>
  <c r="H31" i="1"/>
  <c r="H21" i="1"/>
  <c r="G14" i="1"/>
  <c r="H14" i="1" l="1"/>
  <c r="G55" i="2"/>
  <c r="F58" i="2"/>
  <c r="G58" i="2" s="1"/>
  <c r="H58" i="2"/>
  <c r="I58" i="2" s="1"/>
  <c r="I55" i="2"/>
  <c r="E55" i="2"/>
  <c r="D58" i="2"/>
  <c r="E58" i="2" s="1"/>
  <c r="D56" i="4"/>
  <c r="H56" i="4" s="1"/>
  <c r="H52" i="4"/>
  <c r="H12" i="1"/>
</calcChain>
</file>

<file path=xl/sharedStrings.xml><?xml version="1.0" encoding="utf-8"?>
<sst xmlns="http://schemas.openxmlformats.org/spreadsheetml/2006/main" count="169" uniqueCount="118">
  <si>
    <t>Compañía Cartrans  Lmitada</t>
  </si>
  <si>
    <t>Balances Generales (miles de $)</t>
  </si>
  <si>
    <t>Activos</t>
  </si>
  <si>
    <t>Caja</t>
  </si>
  <si>
    <t>Cuentas por Cobrar</t>
  </si>
  <si>
    <t>Inventarios</t>
  </si>
  <si>
    <t>Activo Circulante</t>
  </si>
  <si>
    <t>Activo Fijo bruto</t>
  </si>
  <si>
    <t>Depreciación Acumulada</t>
  </si>
  <si>
    <t>Total Activos</t>
  </si>
  <si>
    <t>Pasivo y Patrimonio</t>
  </si>
  <si>
    <t>Deuda Corto Plazo</t>
  </si>
  <si>
    <t>Cuentas por Pagar</t>
  </si>
  <si>
    <t>Otros</t>
  </si>
  <si>
    <t>Pasivo Circulante</t>
  </si>
  <si>
    <t>Capital</t>
  </si>
  <si>
    <t>Utilidades Retenidas</t>
  </si>
  <si>
    <t>Patrimonio</t>
  </si>
  <si>
    <t>Análisis Vertical</t>
  </si>
  <si>
    <t>Deuda Largo Plazo</t>
  </si>
  <si>
    <t>Deuda Largo Plazo - Hipoteca</t>
  </si>
  <si>
    <t>Pasivo Largo Plazo</t>
  </si>
  <si>
    <t>Activo Fijo Neto</t>
  </si>
  <si>
    <t>Análisis Horizontal</t>
  </si>
  <si>
    <t>Ventas Netas</t>
  </si>
  <si>
    <t>Costo de Ventas</t>
  </si>
  <si>
    <t>Margen Bruto</t>
  </si>
  <si>
    <t>Gastos de Adm. y Ventas</t>
  </si>
  <si>
    <t>Gasto por Depreciación</t>
  </si>
  <si>
    <t>Gastos Varios</t>
  </si>
  <si>
    <t>Resultado Operacional</t>
  </si>
  <si>
    <t>Gasto por Intereses</t>
  </si>
  <si>
    <t>UA.I.</t>
  </si>
  <si>
    <t>Impuestos</t>
  </si>
  <si>
    <t>Utilidad Neta</t>
  </si>
  <si>
    <t>Estado de Resultados (miles de S)</t>
  </si>
  <si>
    <t>Relaciones Financieras</t>
  </si>
  <si>
    <t>Medidas de Rendimiento Financiero</t>
  </si>
  <si>
    <t>Rentabilidad</t>
  </si>
  <si>
    <t>Utilidad Antes de Impuesto / Activo Total</t>
  </si>
  <si>
    <t>Retorno sobre Activos (ROA)</t>
  </si>
  <si>
    <t>Utilidad despues de Impuesto /Activo Total</t>
  </si>
  <si>
    <t>Retorno sobre Patrimonio (ROE)</t>
  </si>
  <si>
    <t>Utilidad Antes de Impuesto / Patrimonio</t>
  </si>
  <si>
    <t>Utilidad despues de Impuesto /Patrimonio</t>
  </si>
  <si>
    <t>Eficiencia</t>
  </si>
  <si>
    <t>Utilidad Bruta / Ventas Netas</t>
  </si>
  <si>
    <t>Utilidad Operacional / Ventas Netas</t>
  </si>
  <si>
    <t>Margen Operacional</t>
  </si>
  <si>
    <t>Utilidad Antes de Impuesto / Ventas Netas</t>
  </si>
  <si>
    <t>Utilidad después de Impuestos / Ventas Netas</t>
  </si>
  <si>
    <t>Margen Neto (2)</t>
  </si>
  <si>
    <t>Margen Neto (1)</t>
  </si>
  <si>
    <t>Ventas Netas /Activo Total</t>
  </si>
  <si>
    <t>Rotación de Activos</t>
  </si>
  <si>
    <t>Ventas Netas / Inventarios (promedio o final)</t>
  </si>
  <si>
    <t>Costo de Ventas / Inventario (promedio o final)</t>
  </si>
  <si>
    <t>Rotación Inventarios (1)</t>
  </si>
  <si>
    <t>Rotación Inventarios (2)</t>
  </si>
  <si>
    <t>Ventas Netas / Cuentas por Cobrar (promedio o final)</t>
  </si>
  <si>
    <t>Rotación Cuentas por Cobrar</t>
  </si>
  <si>
    <t>Ventas Netas /Activo Fijo Bruto</t>
  </si>
  <si>
    <t>Ventas Netas / Activo Fijo Neto</t>
  </si>
  <si>
    <t>Rotación Activo Fijo (1)</t>
  </si>
  <si>
    <t>Rotación Activo Fijo (2)</t>
  </si>
  <si>
    <t>Retorno Sobre Activos (1)</t>
  </si>
  <si>
    <t>Retorno Sobre Activos (2)</t>
  </si>
  <si>
    <t>Retorno Sobre Patrimonio (1)</t>
  </si>
  <si>
    <t>Retorno Sobre Patrimonio (2)</t>
  </si>
  <si>
    <t>Endeudamiento</t>
  </si>
  <si>
    <t>Deuda Total /Patrimonio</t>
  </si>
  <si>
    <t>Leverage</t>
  </si>
  <si>
    <t>Deuda Largo Plazo /Patrimonio</t>
  </si>
  <si>
    <t>Deuda Total / Activo Total</t>
  </si>
  <si>
    <t>Activo Total / Patrimonio</t>
  </si>
  <si>
    <t>Deuda Total a Capital</t>
  </si>
  <si>
    <t>Deuda Largo Plazo a Capital</t>
  </si>
  <si>
    <t>Deuda Total a Activo Total</t>
  </si>
  <si>
    <t>Liquidez</t>
  </si>
  <si>
    <t>Activo Circulante / Pasivo Circulante</t>
  </si>
  <si>
    <t>(Activo Circulante - Inventarios) / Pasivo Circulante</t>
  </si>
  <si>
    <t>(Caja + Bancos + V. Neg) / Pasivo Circulante</t>
  </si>
  <si>
    <t>(Caja + Bancos + V.Neg + Ctas por Cobrar)/ Gtos Operación dia</t>
  </si>
  <si>
    <t>Razón Circulante</t>
  </si>
  <si>
    <t>Razón Acida</t>
  </si>
  <si>
    <t>Ratio de Tesorería</t>
  </si>
  <si>
    <t>Cobertura GG de Explotación</t>
  </si>
  <si>
    <t>(dias)</t>
  </si>
  <si>
    <t>No incluye Depreciación</t>
  </si>
  <si>
    <t>Cuentas por Cobrar /Venta Diaria</t>
  </si>
  <si>
    <t>Periodo de Recuperación (dias)</t>
  </si>
  <si>
    <t>Permanencia de Inventarios</t>
  </si>
  <si>
    <t>Inventarios / Costo de Venta dia</t>
  </si>
  <si>
    <t>Medidas de la calidad de la Inversión</t>
  </si>
  <si>
    <t>Utilidad por Acción</t>
  </si>
  <si>
    <t>Utilidad después de Impuestos/ Nº de acciones</t>
  </si>
  <si>
    <t>Precio de Mercado/Ut por acción</t>
  </si>
  <si>
    <t>Relación Precio Utilidad</t>
  </si>
  <si>
    <t>Comparación con promedios de la Industria</t>
  </si>
  <si>
    <t>Prueba Acida</t>
  </si>
  <si>
    <t>Relación de endeudamiento</t>
  </si>
  <si>
    <t>Rotación de Inventarios</t>
  </si>
  <si>
    <t>Periodo Promedio de Cobranza</t>
  </si>
  <si>
    <t>Margen Neto</t>
  </si>
  <si>
    <t>ROA</t>
  </si>
  <si>
    <t>ROE</t>
  </si>
  <si>
    <t>Promedio Industria</t>
  </si>
  <si>
    <t>Promedio Empresa</t>
  </si>
  <si>
    <t>Aplicación del Modelo Du Pont</t>
  </si>
  <si>
    <t>Ut Neta</t>
  </si>
  <si>
    <t xml:space="preserve">Patrimonio </t>
  </si>
  <si>
    <t>=</t>
  </si>
  <si>
    <t>Ventas</t>
  </si>
  <si>
    <t>Activo Total</t>
  </si>
  <si>
    <t>*</t>
  </si>
  <si>
    <t>Promedio Cartrans</t>
  </si>
  <si>
    <t>Cartrans</t>
  </si>
  <si>
    <t>Retorno Sobre Patrimonio                                           = Margen            *      Rotación           *  Endeudamiento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</si>
</sst>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4" fontId="0" fillId="2" borderId="0" xfId="0" applyNumberFormat="1" applyFill="1"/>
    <xf numFmtId="10" fontId="0" fillId="2" borderId="0" xfId="1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" fontId="0" fillId="2" borderId="1" xfId="0" applyNumberFormat="1" applyFill="1" applyBorder="1"/>
    <xf numFmtId="10" fontId="0" fillId="2" borderId="1" xfId="1" applyNumberFormat="1" applyFont="1" applyFill="1" applyBorder="1"/>
    <xf numFmtId="4" fontId="0" fillId="2" borderId="2" xfId="0" applyNumberFormat="1" applyFill="1" applyBorder="1"/>
    <xf numFmtId="10" fontId="0" fillId="2" borderId="2" xfId="0" applyNumberFormat="1" applyFill="1" applyBorder="1"/>
    <xf numFmtId="10" fontId="0" fillId="2" borderId="0" xfId="1" applyNumberFormat="1" applyFont="1" applyFill="1" applyBorder="1"/>
    <xf numFmtId="10" fontId="0" fillId="2" borderId="2" xfId="1" applyNumberFormat="1" applyFont="1" applyFill="1" applyBorder="1"/>
    <xf numFmtId="0" fontId="0" fillId="2" borderId="0" xfId="0" applyFill="1" applyAlignment="1">
      <alignment horizontal="center"/>
    </xf>
    <xf numFmtId="0" fontId="4" fillId="2" borderId="0" xfId="0" applyFont="1" applyFill="1"/>
    <xf numFmtId="4" fontId="0" fillId="2" borderId="0" xfId="1" applyNumberFormat="1" applyFont="1" applyFill="1"/>
    <xf numFmtId="0" fontId="0" fillId="2" borderId="4" xfId="0" applyFill="1" applyBorder="1"/>
    <xf numFmtId="0" fontId="0" fillId="2" borderId="5" xfId="0" applyFill="1" applyBorder="1"/>
    <xf numFmtId="4" fontId="3" fillId="2" borderId="5" xfId="0" applyNumberFormat="1" applyFont="1" applyFill="1" applyBorder="1"/>
    <xf numFmtId="10" fontId="0" fillId="2" borderId="5" xfId="1" applyNumberFormat="1" applyFont="1" applyFill="1" applyBorder="1"/>
    <xf numFmtId="10" fontId="0" fillId="2" borderId="6" xfId="1" applyNumberFormat="1" applyFont="1" applyFill="1" applyBorder="1"/>
    <xf numFmtId="0" fontId="0" fillId="2" borderId="7" xfId="0" applyFill="1" applyBorder="1"/>
    <xf numFmtId="10" fontId="0" fillId="2" borderId="8" xfId="1" applyNumberFormat="1" applyFont="1" applyFill="1" applyBorder="1"/>
    <xf numFmtId="0" fontId="0" fillId="2" borderId="9" xfId="0" applyFill="1" applyBorder="1"/>
    <xf numFmtId="0" fontId="0" fillId="2" borderId="3" xfId="0" applyFill="1" applyBorder="1"/>
    <xf numFmtId="4" fontId="0" fillId="2" borderId="3" xfId="0" applyNumberFormat="1" applyFill="1" applyBorder="1"/>
    <xf numFmtId="10" fontId="0" fillId="2" borderId="3" xfId="1" applyNumberFormat="1" applyFont="1" applyFill="1" applyBorder="1"/>
    <xf numFmtId="10" fontId="0" fillId="2" borderId="10" xfId="1" applyNumberFormat="1" applyFont="1" applyFill="1" applyBorder="1"/>
    <xf numFmtId="4" fontId="0" fillId="2" borderId="5" xfId="1" applyNumberFormat="1" applyFont="1" applyFill="1" applyBorder="1"/>
    <xf numFmtId="4" fontId="0" fillId="2" borderId="6" xfId="1" applyNumberFormat="1" applyFont="1" applyFill="1" applyBorder="1"/>
    <xf numFmtId="4" fontId="0" fillId="2" borderId="3" xfId="1" applyNumberFormat="1" applyFont="1" applyFill="1" applyBorder="1"/>
    <xf numFmtId="4" fontId="0" fillId="2" borderId="10" xfId="1" applyNumberFormat="1" applyFont="1" applyFill="1" applyBorder="1"/>
    <xf numFmtId="4" fontId="0" fillId="2" borderId="0" xfId="1" applyNumberFormat="1" applyFont="1" applyFill="1" applyBorder="1"/>
    <xf numFmtId="4" fontId="0" fillId="2" borderId="8" xfId="1" applyNumberFormat="1" applyFont="1" applyFill="1" applyBorder="1"/>
    <xf numFmtId="4" fontId="3" fillId="2" borderId="0" xfId="0" applyNumberFormat="1" applyFont="1" applyFill="1"/>
    <xf numFmtId="2" fontId="0" fillId="2" borderId="0" xfId="1" applyNumberFormat="1" applyFont="1" applyFill="1" applyBorder="1"/>
    <xf numFmtId="4" fontId="0" fillId="2" borderId="5" xfId="0" applyNumberFormat="1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0" fontId="0" fillId="2" borderId="12" xfId="1" applyNumberFormat="1" applyFont="1" applyFill="1" applyBorder="1" applyAlignment="1">
      <alignment horizontal="center"/>
    </xf>
    <xf numFmtId="10" fontId="0" fillId="2" borderId="12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2" fontId="0" fillId="2" borderId="13" xfId="0" applyNumberForma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13" xfId="1" applyNumberFormat="1" applyFon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0" fontId="2" fillId="2" borderId="0" xfId="1" applyNumberFormat="1" applyFont="1" applyFill="1"/>
    <xf numFmtId="10" fontId="2" fillId="2" borderId="0" xfId="0" applyNumberFormat="1" applyFont="1" applyFill="1"/>
    <xf numFmtId="10" fontId="5" fillId="2" borderId="1" xfId="1" applyNumberFormat="1" applyFont="1" applyFill="1" applyBorder="1"/>
    <xf numFmtId="10" fontId="5" fillId="2" borderId="0" xfId="1" applyNumberFormat="1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zoomScale="90" zoomScaleNormal="90" workbookViewId="0">
      <selection activeCell="K1" sqref="K1"/>
    </sheetView>
  </sheetViews>
  <sheetFormatPr baseColWidth="10" defaultRowHeight="15" x14ac:dyDescent="0.25"/>
  <cols>
    <col min="1" max="1" width="11.42578125" style="1"/>
    <col min="2" max="2" width="29.42578125" style="1" bestFit="1" customWidth="1"/>
    <col min="3" max="6" width="11.42578125" style="1"/>
    <col min="7" max="9" width="11.42578125" style="1" customWidth="1"/>
    <col min="10" max="16384" width="11.42578125" style="1"/>
  </cols>
  <sheetData>
    <row r="1" spans="2:9" x14ac:dyDescent="0.25">
      <c r="B1" s="58" t="s">
        <v>0</v>
      </c>
      <c r="C1" s="58"/>
      <c r="D1" s="58"/>
      <c r="E1" s="58"/>
      <c r="F1" s="58"/>
      <c r="G1" s="58"/>
      <c r="H1" s="58"/>
      <c r="I1" s="58"/>
    </row>
    <row r="2" spans="2:9" x14ac:dyDescent="0.25">
      <c r="B2" s="58" t="s">
        <v>1</v>
      </c>
      <c r="C2" s="58"/>
      <c r="D2" s="58"/>
      <c r="E2" s="58"/>
      <c r="G2" s="58" t="s">
        <v>18</v>
      </c>
      <c r="H2" s="58"/>
      <c r="I2" s="58"/>
    </row>
    <row r="3" spans="2:9" s="4" customFormat="1" x14ac:dyDescent="0.25">
      <c r="C3" s="5">
        <v>2007</v>
      </c>
      <c r="D3" s="5">
        <v>2008</v>
      </c>
      <c r="E3" s="5">
        <v>2009</v>
      </c>
      <c r="G3" s="5">
        <v>2007</v>
      </c>
      <c r="H3" s="5">
        <v>2008</v>
      </c>
      <c r="I3" s="5">
        <v>2009</v>
      </c>
    </row>
    <row r="4" spans="2:9" x14ac:dyDescent="0.25">
      <c r="B4" s="1" t="s">
        <v>2</v>
      </c>
    </row>
    <row r="5" spans="2:9" x14ac:dyDescent="0.25">
      <c r="B5" s="1" t="s">
        <v>3</v>
      </c>
      <c r="C5" s="2">
        <v>5148.3100000000004</v>
      </c>
      <c r="D5" s="2">
        <v>4002.48</v>
      </c>
      <c r="E5" s="2">
        <v>3905.77</v>
      </c>
      <c r="G5" s="3">
        <f>C5/$C$14</f>
        <v>9.2025623338638021E-2</v>
      </c>
      <c r="H5" s="3">
        <f>D5/$D$14</f>
        <v>5.6420661018041031E-2</v>
      </c>
      <c r="I5" s="3">
        <f>E5/$E$14</f>
        <v>4.0642345032830041E-2</v>
      </c>
    </row>
    <row r="6" spans="2:9" x14ac:dyDescent="0.25">
      <c r="B6" s="1" t="s">
        <v>4</v>
      </c>
      <c r="C6" s="2">
        <v>17097.75</v>
      </c>
      <c r="D6" s="2">
        <v>18462</v>
      </c>
      <c r="E6" s="2">
        <v>29356.86</v>
      </c>
      <c r="G6" s="3">
        <f>C6/$C$14</f>
        <v>0.30562089334911807</v>
      </c>
      <c r="H6" s="3">
        <f>D6/$D$14</f>
        <v>0.2602482070404033</v>
      </c>
      <c r="I6" s="3">
        <f>E6/$E$14</f>
        <v>0.30547923538776911</v>
      </c>
    </row>
    <row r="7" spans="2:9" ht="15.75" thickBot="1" x14ac:dyDescent="0.3">
      <c r="B7" s="1" t="s">
        <v>5</v>
      </c>
      <c r="C7" s="6">
        <v>18933.75</v>
      </c>
      <c r="D7" s="6">
        <v>33028.870000000003</v>
      </c>
      <c r="E7" s="6">
        <v>46658.62</v>
      </c>
      <c r="G7" s="7">
        <f>C7/$C$14</f>
        <v>0.33843924431278177</v>
      </c>
      <c r="H7" s="7">
        <f>D7/$D$14</f>
        <v>0.46558900433704725</v>
      </c>
      <c r="I7" s="56">
        <f>E7/$E$14</f>
        <v>0.48551648786172885</v>
      </c>
    </row>
    <row r="8" spans="2:9" x14ac:dyDescent="0.25">
      <c r="B8" s="1" t="s">
        <v>6</v>
      </c>
      <c r="C8" s="2">
        <f>SUM(C5:C7)</f>
        <v>41179.81</v>
      </c>
      <c r="D8" s="2">
        <f>SUM(D5:D7)</f>
        <v>55493.350000000006</v>
      </c>
      <c r="E8" s="2">
        <f>SUM(E5:E7)</f>
        <v>79921.25</v>
      </c>
      <c r="G8" s="3">
        <f>C8/$C$14</f>
        <v>0.7360857610005378</v>
      </c>
      <c r="H8" s="3">
        <f>D8/$D$14</f>
        <v>0.7822578723954916</v>
      </c>
      <c r="I8" s="3">
        <f>E8/$E$14</f>
        <v>0.831638068282328</v>
      </c>
    </row>
    <row r="9" spans="2:9" x14ac:dyDescent="0.25">
      <c r="C9" s="2"/>
      <c r="D9" s="2"/>
      <c r="E9" s="2"/>
      <c r="G9" s="3"/>
      <c r="H9" s="3"/>
      <c r="I9" s="3"/>
    </row>
    <row r="10" spans="2:9" x14ac:dyDescent="0.25">
      <c r="B10" s="1" t="s">
        <v>7</v>
      </c>
      <c r="C10" s="2">
        <v>17760.75</v>
      </c>
      <c r="D10" s="2">
        <v>20100.37</v>
      </c>
      <c r="E10" s="2">
        <v>22873.5</v>
      </c>
      <c r="G10" s="3">
        <f>C10/$C$14</f>
        <v>0.31747196453044108</v>
      </c>
      <c r="H10" s="3">
        <f>D10/$D$14</f>
        <v>0.2833433676388642</v>
      </c>
      <c r="I10" s="3">
        <f>E10/$E$14</f>
        <v>0.23801521316115337</v>
      </c>
    </row>
    <row r="11" spans="2:9" ht="15.75" thickBot="1" x14ac:dyDescent="0.3">
      <c r="B11" s="1" t="s">
        <v>8</v>
      </c>
      <c r="C11" s="6">
        <v>-2996.25</v>
      </c>
      <c r="D11" s="6">
        <v>-4653.75</v>
      </c>
      <c r="E11" s="6">
        <v>-6693.75</v>
      </c>
      <c r="G11" s="7">
        <f>C11/$C$14</f>
        <v>-5.3557725530978935E-2</v>
      </c>
      <c r="H11" s="7">
        <f>D11/$D$14</f>
        <v>-6.5601240034355801E-2</v>
      </c>
      <c r="I11" s="7">
        <f>E11/$E$14</f>
        <v>-6.9653281443481332E-2</v>
      </c>
    </row>
    <row r="12" spans="2:9" x14ac:dyDescent="0.25">
      <c r="B12" s="1" t="s">
        <v>22</v>
      </c>
      <c r="C12" s="2">
        <f>C10+C11</f>
        <v>14764.5</v>
      </c>
      <c r="D12" s="2">
        <f>D10+D11</f>
        <v>15446.619999999999</v>
      </c>
      <c r="E12" s="2">
        <f>E10+E11</f>
        <v>16179.75</v>
      </c>
      <c r="G12" s="10">
        <f>G10+G11</f>
        <v>0.26391423899946215</v>
      </c>
      <c r="H12" s="10">
        <f>H10+H11</f>
        <v>0.2177421276045084</v>
      </c>
      <c r="I12" s="10">
        <f>I10+I11</f>
        <v>0.16836193171767205</v>
      </c>
    </row>
    <row r="13" spans="2:9" x14ac:dyDescent="0.25">
      <c r="C13" s="2"/>
      <c r="D13" s="2"/>
      <c r="E13" s="2"/>
    </row>
    <row r="14" spans="2:9" ht="15.75" thickBot="1" x14ac:dyDescent="0.3">
      <c r="B14" s="1" t="s">
        <v>9</v>
      </c>
      <c r="C14" s="8">
        <f>C8+C10+C11</f>
        <v>55944.31</v>
      </c>
      <c r="D14" s="8">
        <f>D8+D10+D11</f>
        <v>70939.97</v>
      </c>
      <c r="E14" s="8">
        <f>E8+E10+E11</f>
        <v>96101</v>
      </c>
      <c r="G14" s="9">
        <f>SUM(G5:G11)-G8</f>
        <v>1</v>
      </c>
      <c r="H14" s="9">
        <f>SUM(H5:H11)-H8</f>
        <v>1</v>
      </c>
      <c r="I14" s="9">
        <f>SUM(I5:I11)-I8</f>
        <v>0.99999999999999989</v>
      </c>
    </row>
    <row r="15" spans="2:9" ht="15.75" thickTop="1" x14ac:dyDescent="0.25">
      <c r="C15" s="2"/>
      <c r="D15" s="2"/>
      <c r="E15" s="2"/>
    </row>
    <row r="16" spans="2:9" x14ac:dyDescent="0.25">
      <c r="B16" s="1" t="s">
        <v>10</v>
      </c>
      <c r="C16" s="2"/>
      <c r="D16" s="2"/>
      <c r="E16" s="2"/>
      <c r="I16" s="3"/>
    </row>
    <row r="17" spans="2:9" x14ac:dyDescent="0.25">
      <c r="B17" s="1" t="s">
        <v>11</v>
      </c>
      <c r="C17" s="2">
        <v>3187.5</v>
      </c>
      <c r="D17" s="2">
        <v>5100</v>
      </c>
      <c r="E17" s="2">
        <v>18232.5</v>
      </c>
      <c r="G17" s="3">
        <f>C17/C33</f>
        <v>5.697630375636057E-2</v>
      </c>
      <c r="H17" s="3">
        <f>D17/$D$33</f>
        <v>7.1891769900663899E-2</v>
      </c>
      <c r="I17" s="57">
        <f>E17/$E$33</f>
        <v>0.18972227136033964</v>
      </c>
    </row>
    <row r="18" spans="2:9" x14ac:dyDescent="0.25">
      <c r="B18" s="1" t="s">
        <v>12</v>
      </c>
      <c r="C18" s="2">
        <v>6763.88</v>
      </c>
      <c r="D18" s="2">
        <v>10506.01</v>
      </c>
      <c r="E18" s="2">
        <v>19998.39</v>
      </c>
      <c r="G18" s="3">
        <f>C18/$C$33</f>
        <v>0.12090380594559126</v>
      </c>
      <c r="H18" s="3">
        <f>D18/$D$33</f>
        <v>0.14809718695962235</v>
      </c>
      <c r="I18" s="57">
        <f>E18/$E$33</f>
        <v>0.20809762645549992</v>
      </c>
    </row>
    <row r="19" spans="2:9" ht="15.75" thickBot="1" x14ac:dyDescent="0.3">
      <c r="B19" s="1" t="s">
        <v>13</v>
      </c>
      <c r="C19" s="6">
        <v>3442.5</v>
      </c>
      <c r="D19" s="6">
        <v>5100</v>
      </c>
      <c r="E19" s="6">
        <v>7331.28</v>
      </c>
      <c r="G19" s="7">
        <f>C19/$C$33</f>
        <v>6.1534408056869418E-2</v>
      </c>
      <c r="H19" s="7">
        <f>D19/$D$33</f>
        <v>7.1891769900663899E-2</v>
      </c>
      <c r="I19" s="7">
        <f>E19/$E$33</f>
        <v>7.6287239466810958E-2</v>
      </c>
    </row>
    <row r="20" spans="2:9" x14ac:dyDescent="0.25">
      <c r="C20" s="2"/>
      <c r="D20" s="2"/>
      <c r="E20" s="2"/>
      <c r="G20" s="3"/>
      <c r="H20" s="3"/>
      <c r="I20" s="3"/>
    </row>
    <row r="21" spans="2:9" x14ac:dyDescent="0.25">
      <c r="B21" s="1" t="s">
        <v>14</v>
      </c>
      <c r="C21" s="2">
        <f>SUM(C17:C20)</f>
        <v>13393.880000000001</v>
      </c>
      <c r="D21" s="2">
        <f>SUM(D17:D20)</f>
        <v>20706.010000000002</v>
      </c>
      <c r="E21" s="2">
        <f>SUM(E17:E20)</f>
        <v>45562.17</v>
      </c>
      <c r="G21" s="3">
        <f>C21/$C$33</f>
        <v>0.23941451775882125</v>
      </c>
      <c r="H21" s="3">
        <f>D21/$D$33</f>
        <v>0.29188072676095017</v>
      </c>
      <c r="I21" s="3">
        <f>E21/$E$33</f>
        <v>0.47410713728265053</v>
      </c>
    </row>
    <row r="22" spans="2:9" x14ac:dyDescent="0.25">
      <c r="C22" s="2"/>
      <c r="D22" s="2"/>
      <c r="E22" s="2"/>
      <c r="G22" s="3"/>
      <c r="H22" s="3"/>
      <c r="I22" s="3"/>
    </row>
    <row r="23" spans="2:9" x14ac:dyDescent="0.25">
      <c r="B23" s="1" t="s">
        <v>19</v>
      </c>
      <c r="C23" s="2">
        <v>6375</v>
      </c>
      <c r="D23" s="2">
        <v>9562.5</v>
      </c>
      <c r="E23" s="2">
        <v>9562.5</v>
      </c>
      <c r="G23" s="3">
        <f>C23/$C$33</f>
        <v>0.11395260751272114</v>
      </c>
      <c r="H23" s="3">
        <f>D23/$D$33</f>
        <v>0.13479706856374482</v>
      </c>
      <c r="I23" s="3">
        <f>E23/$E$33</f>
        <v>9.9504687776401909E-2</v>
      </c>
    </row>
    <row r="24" spans="2:9" ht="15.75" thickBot="1" x14ac:dyDescent="0.3">
      <c r="B24" s="1" t="s">
        <v>20</v>
      </c>
      <c r="C24" s="6">
        <v>2868.75</v>
      </c>
      <c r="D24" s="6">
        <v>2601</v>
      </c>
      <c r="E24" s="6">
        <v>2339.62</v>
      </c>
      <c r="G24" s="7">
        <f>C24/$C$33</f>
        <v>5.1278673380724511E-2</v>
      </c>
      <c r="H24" s="7">
        <f>D24/$D$33</f>
        <v>3.6664802649338586E-2</v>
      </c>
      <c r="I24" s="7">
        <f>E24/$E$33</f>
        <v>2.4345428247364749E-2</v>
      </c>
    </row>
    <row r="25" spans="2:9" x14ac:dyDescent="0.25">
      <c r="C25" s="2"/>
      <c r="D25" s="2"/>
      <c r="E25" s="2"/>
      <c r="G25" s="3"/>
      <c r="H25" s="3"/>
      <c r="I25" s="3"/>
    </row>
    <row r="26" spans="2:9" x14ac:dyDescent="0.25">
      <c r="B26" s="1" t="s">
        <v>21</v>
      </c>
      <c r="C26" s="2">
        <f>C23+C24</f>
        <v>9243.75</v>
      </c>
      <c r="D26" s="2">
        <f>D23+D24</f>
        <v>12163.5</v>
      </c>
      <c r="E26" s="2">
        <f>E23+E24</f>
        <v>11902.119999999999</v>
      </c>
      <c r="G26" s="3">
        <f>C26/$C$33</f>
        <v>0.16523128089344566</v>
      </c>
      <c r="H26" s="3">
        <f>D26/$D$33</f>
        <v>0.1714618712130834</v>
      </c>
      <c r="I26" s="3">
        <f>E26/$E$33</f>
        <v>0.12385011602376665</v>
      </c>
    </row>
    <row r="27" spans="2:9" x14ac:dyDescent="0.25">
      <c r="C27" s="2"/>
      <c r="D27" s="2"/>
      <c r="E27" s="2"/>
      <c r="G27" s="3"/>
      <c r="H27" s="3"/>
      <c r="I27" s="3"/>
    </row>
    <row r="28" spans="2:9" x14ac:dyDescent="0.25">
      <c r="B28" s="1" t="s">
        <v>15</v>
      </c>
      <c r="C28" s="2">
        <v>23269</v>
      </c>
      <c r="D28" s="2">
        <v>23269</v>
      </c>
      <c r="E28" s="2">
        <v>23269</v>
      </c>
      <c r="G28" s="3">
        <f>C28/$C$33</f>
        <v>0.41593148615113851</v>
      </c>
      <c r="H28" s="3">
        <f>D28/$D$33</f>
        <v>0.32800972427814673</v>
      </c>
      <c r="I28" s="3">
        <f>E28/$E$33</f>
        <v>0.24213067501899044</v>
      </c>
    </row>
    <row r="29" spans="2:9" ht="15.75" thickBot="1" x14ac:dyDescent="0.3">
      <c r="B29" s="1" t="s">
        <v>16</v>
      </c>
      <c r="C29" s="6">
        <v>10037.68</v>
      </c>
      <c r="D29" s="6">
        <v>14801.46</v>
      </c>
      <c r="E29" s="6">
        <v>15367.71</v>
      </c>
      <c r="G29" s="7">
        <f>C29/$C$33</f>
        <v>0.17942271519659464</v>
      </c>
      <c r="H29" s="7">
        <f>D29/$D$33</f>
        <v>0.20864767774781973</v>
      </c>
      <c r="I29" s="7">
        <f>E29/$E$33</f>
        <v>0.15991207167459234</v>
      </c>
    </row>
    <row r="30" spans="2:9" x14ac:dyDescent="0.25">
      <c r="C30" s="2"/>
      <c r="D30" s="2"/>
      <c r="E30" s="2"/>
      <c r="G30" s="3"/>
      <c r="H30" s="3"/>
      <c r="I30" s="3"/>
    </row>
    <row r="31" spans="2:9" ht="15.75" thickBot="1" x14ac:dyDescent="0.3">
      <c r="B31" s="1" t="s">
        <v>17</v>
      </c>
      <c r="C31" s="6">
        <f>C28+C29</f>
        <v>33306.68</v>
      </c>
      <c r="D31" s="6">
        <f>D28+D29</f>
        <v>38070.46</v>
      </c>
      <c r="E31" s="6">
        <f>E28+E29</f>
        <v>38636.71</v>
      </c>
      <c r="G31" s="56">
        <f>C31/$C$33</f>
        <v>0.5953542013477332</v>
      </c>
      <c r="H31" s="56">
        <f>D31/$D$33</f>
        <v>0.53665740202596646</v>
      </c>
      <c r="I31" s="56">
        <f>E31/$E$33</f>
        <v>0.40204274669358281</v>
      </c>
    </row>
    <row r="32" spans="2:9" x14ac:dyDescent="0.25">
      <c r="C32" s="2"/>
      <c r="D32" s="2"/>
      <c r="E32" s="2"/>
      <c r="G32" s="3"/>
      <c r="H32" s="3"/>
      <c r="I32" s="3"/>
    </row>
    <row r="33" spans="2:9" ht="15.75" thickBot="1" x14ac:dyDescent="0.3">
      <c r="B33" s="1" t="s">
        <v>10</v>
      </c>
      <c r="C33" s="8">
        <f>C31+C26+C21</f>
        <v>55944.31</v>
      </c>
      <c r="D33" s="8">
        <f>D31+D26+D21</f>
        <v>70939.97</v>
      </c>
      <c r="E33" s="8">
        <f>E31+E26+E21</f>
        <v>96101</v>
      </c>
      <c r="G33" s="11">
        <f>C33/$C$33</f>
        <v>1</v>
      </c>
      <c r="H33" s="11">
        <f>D33/$D$33</f>
        <v>1</v>
      </c>
      <c r="I33" s="11">
        <f>E33/$E$33</f>
        <v>1</v>
      </c>
    </row>
    <row r="34" spans="2:9" ht="15.75" thickTop="1" x14ac:dyDescent="0.25"/>
    <row r="36" spans="2:9" x14ac:dyDescent="0.25">
      <c r="B36" s="58" t="s">
        <v>35</v>
      </c>
      <c r="C36" s="58"/>
      <c r="D36" s="58"/>
      <c r="E36" s="58"/>
      <c r="F36" s="58"/>
      <c r="G36" s="58"/>
      <c r="H36" s="58"/>
      <c r="I36" s="58"/>
    </row>
    <row r="37" spans="2:9" x14ac:dyDescent="0.25">
      <c r="C37" s="12">
        <v>2007</v>
      </c>
      <c r="D37" s="12">
        <v>2008</v>
      </c>
      <c r="E37" s="12">
        <v>2009</v>
      </c>
      <c r="G37" s="12">
        <v>2007</v>
      </c>
      <c r="H37" s="12">
        <v>2008</v>
      </c>
      <c r="I37" s="12">
        <v>2009</v>
      </c>
    </row>
    <row r="39" spans="2:9" x14ac:dyDescent="0.25">
      <c r="B39" s="1" t="s">
        <v>24</v>
      </c>
      <c r="C39" s="2">
        <v>170997.5</v>
      </c>
      <c r="D39" s="2">
        <v>184658.25</v>
      </c>
      <c r="E39" s="2">
        <v>195731.63</v>
      </c>
      <c r="G39" s="3">
        <v>1</v>
      </c>
      <c r="H39" s="3">
        <v>1</v>
      </c>
      <c r="I39" s="3">
        <v>1</v>
      </c>
    </row>
    <row r="40" spans="2:9" x14ac:dyDescent="0.25">
      <c r="B40" s="1" t="s">
        <v>25</v>
      </c>
      <c r="C40" s="2">
        <v>-135267.74</v>
      </c>
      <c r="D40" s="2">
        <v>-150131.22</v>
      </c>
      <c r="E40" s="2">
        <v>-166642.57999999999</v>
      </c>
      <c r="G40" s="3">
        <f>-C40/$C$39</f>
        <v>0.79105098027748944</v>
      </c>
      <c r="H40" s="3">
        <f>-D40/D39</f>
        <v>0.81302200145403736</v>
      </c>
      <c r="I40" s="3">
        <f>-E40/E39</f>
        <v>0.85138298802293721</v>
      </c>
    </row>
    <row r="41" spans="2:9" x14ac:dyDescent="0.25">
      <c r="C41" s="2"/>
      <c r="D41" s="2"/>
      <c r="E41" s="2"/>
      <c r="G41" s="3"/>
      <c r="H41" s="3"/>
      <c r="I41" s="3"/>
    </row>
    <row r="42" spans="2:9" x14ac:dyDescent="0.25">
      <c r="B42" s="1" t="s">
        <v>26</v>
      </c>
      <c r="C42" s="2">
        <f>C39+C40</f>
        <v>35729.760000000009</v>
      </c>
      <c r="D42" s="2">
        <f>D39+D40</f>
        <v>34527.03</v>
      </c>
      <c r="E42" s="2">
        <f>E39+E40</f>
        <v>29089.050000000017</v>
      </c>
      <c r="G42" s="3">
        <f>G39-G40</f>
        <v>0.20894901972251056</v>
      </c>
      <c r="H42" s="3">
        <f>H39-H40</f>
        <v>0.18697799854596264</v>
      </c>
      <c r="I42" s="3">
        <f>I39-I40</f>
        <v>0.14861701197706279</v>
      </c>
    </row>
    <row r="43" spans="2:9" x14ac:dyDescent="0.25">
      <c r="C43" s="2"/>
      <c r="D43" s="2"/>
      <c r="E43" s="2"/>
      <c r="G43" s="3"/>
      <c r="H43" s="3"/>
      <c r="I43" s="3"/>
    </row>
    <row r="44" spans="2:9" x14ac:dyDescent="0.25">
      <c r="B44" s="1" t="s">
        <v>27</v>
      </c>
      <c r="C44" s="2">
        <v>-12789.79</v>
      </c>
      <c r="D44" s="2">
        <v>-15344.64</v>
      </c>
      <c r="E44" s="2">
        <v>-16880.96</v>
      </c>
      <c r="G44" s="3">
        <f>-C44/$C$39</f>
        <v>7.4795187064138374E-2</v>
      </c>
      <c r="H44" s="3">
        <f>-D44/$D$39</f>
        <v>8.3097505797872548E-2</v>
      </c>
      <c r="I44" s="3">
        <f>-E44/$E$39</f>
        <v>8.6245437183555859E-2</v>
      </c>
    </row>
    <row r="45" spans="2:9" x14ac:dyDescent="0.25">
      <c r="B45" s="1" t="s">
        <v>28</v>
      </c>
      <c r="C45" s="2">
        <v>-1593.75</v>
      </c>
      <c r="D45" s="2">
        <v>-1657.5</v>
      </c>
      <c r="E45" s="2">
        <v>-2040</v>
      </c>
      <c r="G45" s="3">
        <f>-C45/$C$39</f>
        <v>9.3203117004634576E-3</v>
      </c>
      <c r="H45" s="3">
        <f>-D45/$D$39</f>
        <v>8.9760408755092183E-3</v>
      </c>
      <c r="I45" s="3">
        <f>-E45/$E$39</f>
        <v>1.0422434023565838E-2</v>
      </c>
    </row>
    <row r="46" spans="2:9" x14ac:dyDescent="0.25">
      <c r="B46" s="1" t="s">
        <v>29</v>
      </c>
      <c r="C46" s="2">
        <v>-2027.49</v>
      </c>
      <c r="D46" s="2">
        <v>-3557.25</v>
      </c>
      <c r="E46" s="2">
        <v>-5724.72</v>
      </c>
      <c r="G46" s="3">
        <f>-C46/$C$39</f>
        <v>1.1856840012280882E-2</v>
      </c>
      <c r="H46" s="3">
        <f>-D46/$D$39</f>
        <v>1.9263964648208246E-2</v>
      </c>
      <c r="I46" s="3">
        <f>-E46/$E$39</f>
        <v>2.9247802207543052E-2</v>
      </c>
    </row>
    <row r="47" spans="2:9" x14ac:dyDescent="0.25">
      <c r="C47" s="2"/>
      <c r="D47" s="2"/>
      <c r="E47" s="2"/>
      <c r="G47" s="3"/>
      <c r="H47" s="3"/>
      <c r="I47" s="3"/>
    </row>
    <row r="48" spans="2:9" x14ac:dyDescent="0.25">
      <c r="B48" s="1" t="s">
        <v>30</v>
      </c>
      <c r="C48" s="2">
        <f>C42+C44+C45+C46</f>
        <v>19318.730000000007</v>
      </c>
      <c r="D48" s="2">
        <f>D42+D44+D45+D46</f>
        <v>13967.64</v>
      </c>
      <c r="E48" s="2">
        <f>E42+E44+E45+E46</f>
        <v>4443.3700000000181</v>
      </c>
      <c r="G48" s="3">
        <f>C48/$C$39</f>
        <v>0.11297668094562791</v>
      </c>
      <c r="H48" s="3">
        <f>D48/$D$39</f>
        <v>7.5640487224372582E-2</v>
      </c>
      <c r="I48" s="3">
        <f>E48/$E$39</f>
        <v>2.2701338562398005E-2</v>
      </c>
    </row>
    <row r="49" spans="2:9" x14ac:dyDescent="0.25">
      <c r="C49" s="2"/>
      <c r="D49" s="2"/>
      <c r="E49" s="2"/>
      <c r="G49" s="3"/>
      <c r="H49" s="3"/>
      <c r="I49" s="3"/>
    </row>
    <row r="50" spans="2:9" x14ac:dyDescent="0.25">
      <c r="B50" s="1" t="s">
        <v>31</v>
      </c>
      <c r="C50" s="2">
        <f>-318.75-637.5-259.83</f>
        <v>-1216.08</v>
      </c>
      <c r="D50" s="2">
        <f>-561-956.25-235.58</f>
        <v>-1752.83</v>
      </c>
      <c r="E50" s="2">
        <f>-1823.25-956.25-211.9</f>
        <v>-2991.4</v>
      </c>
      <c r="G50" s="3">
        <f>-C50/$C$39</f>
        <v>7.1116829193409257E-3</v>
      </c>
      <c r="H50" s="3">
        <f>-D50/$D$39</f>
        <v>9.4922918418213105E-3</v>
      </c>
      <c r="I50" s="3">
        <f>-E50/$E$39</f>
        <v>1.5283171146124926E-2</v>
      </c>
    </row>
    <row r="51" spans="2:9" x14ac:dyDescent="0.25">
      <c r="C51" s="2"/>
      <c r="D51" s="2"/>
      <c r="E51" s="2"/>
      <c r="G51" s="3"/>
      <c r="H51" s="3"/>
      <c r="I51" s="3"/>
    </row>
    <row r="52" spans="2:9" x14ac:dyDescent="0.25">
      <c r="B52" s="1" t="s">
        <v>32</v>
      </c>
      <c r="C52" s="2">
        <f>C48+C50</f>
        <v>18102.650000000009</v>
      </c>
      <c r="D52" s="2">
        <f>D48+D50</f>
        <v>12214.81</v>
      </c>
      <c r="E52" s="2">
        <f>E48+E50</f>
        <v>1451.970000000018</v>
      </c>
      <c r="G52" s="3">
        <f>C52/$C$39</f>
        <v>0.10586499802628699</v>
      </c>
      <c r="H52" s="3">
        <f>D52/$D$39</f>
        <v>6.6148195382551275E-2</v>
      </c>
      <c r="I52" s="3">
        <f>E52/$E$39</f>
        <v>7.4181674162730775E-3</v>
      </c>
    </row>
    <row r="53" spans="2:9" x14ac:dyDescent="0.25">
      <c r="C53" s="2"/>
      <c r="D53" s="2"/>
      <c r="E53" s="2"/>
      <c r="G53" s="3"/>
      <c r="H53" s="3"/>
      <c r="I53" s="3"/>
    </row>
    <row r="54" spans="2:9" x14ac:dyDescent="0.25">
      <c r="B54" s="1" t="s">
        <v>33</v>
      </c>
      <c r="C54" s="2">
        <v>-8689.26</v>
      </c>
      <c r="D54" s="2">
        <v>-5863.1</v>
      </c>
      <c r="E54" s="2">
        <v>-696.94</v>
      </c>
      <c r="G54" s="3">
        <f>-C54/$C$39</f>
        <v>5.0815128876153158E-2</v>
      </c>
      <c r="H54" s="3">
        <f>-D54/$D$39</f>
        <v>3.1751086128022986E-2</v>
      </c>
      <c r="I54" s="3">
        <f>-E54/$E$39</f>
        <v>3.5606917492078311E-3</v>
      </c>
    </row>
    <row r="55" spans="2:9" x14ac:dyDescent="0.25">
      <c r="C55" s="2"/>
      <c r="D55" s="2"/>
      <c r="E55" s="2"/>
      <c r="G55" s="3"/>
      <c r="H55" s="3"/>
      <c r="I55" s="3"/>
    </row>
    <row r="56" spans="2:9" x14ac:dyDescent="0.25">
      <c r="B56" s="1" t="s">
        <v>34</v>
      </c>
      <c r="C56" s="2">
        <f>C52+C54</f>
        <v>9413.3900000000085</v>
      </c>
      <c r="D56" s="2">
        <f>D52+D54</f>
        <v>6351.7099999999991</v>
      </c>
      <c r="E56" s="2">
        <f>E52+E54</f>
        <v>755.03000000001794</v>
      </c>
      <c r="G56" s="3">
        <f>C56/$C$39</f>
        <v>5.5049869150133823E-2</v>
      </c>
      <c r="H56" s="3">
        <f>D56/$D$39</f>
        <v>3.4397109254528289E-2</v>
      </c>
      <c r="I56" s="3">
        <f>E56/$E$39</f>
        <v>3.8574756670652459E-3</v>
      </c>
    </row>
  </sheetData>
  <mergeCells count="4">
    <mergeCell ref="G2:I2"/>
    <mergeCell ref="B2:E2"/>
    <mergeCell ref="B1:I1"/>
    <mergeCell ref="B36:I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56"/>
  <sheetViews>
    <sheetView zoomScale="90" zoomScaleNormal="90" workbookViewId="0">
      <selection activeCell="M8" sqref="M8"/>
    </sheetView>
  </sheetViews>
  <sheetFormatPr baseColWidth="10" defaultRowHeight="15" x14ac:dyDescent="0.25"/>
  <cols>
    <col min="1" max="1" width="11.42578125" style="1"/>
    <col min="2" max="2" width="29.42578125" style="1" bestFit="1" customWidth="1"/>
    <col min="3" max="5" width="11.42578125" style="1"/>
    <col min="6" max="6" width="4.42578125" style="1" customWidth="1"/>
    <col min="7" max="9" width="11.42578125" style="1" customWidth="1"/>
    <col min="10" max="16384" width="11.42578125" style="1"/>
  </cols>
  <sheetData>
    <row r="1" spans="2:9" x14ac:dyDescent="0.25">
      <c r="B1" s="58" t="s">
        <v>0</v>
      </c>
      <c r="C1" s="58"/>
      <c r="D1" s="58"/>
      <c r="E1" s="58"/>
      <c r="F1" s="58"/>
      <c r="G1" s="58"/>
      <c r="H1" s="58"/>
      <c r="I1" s="58"/>
    </row>
    <row r="2" spans="2:9" x14ac:dyDescent="0.25">
      <c r="B2" s="58" t="s">
        <v>1</v>
      </c>
      <c r="C2" s="58"/>
      <c r="D2" s="58"/>
      <c r="E2" s="58"/>
      <c r="G2" s="58" t="s">
        <v>23</v>
      </c>
      <c r="H2" s="58"/>
      <c r="I2" s="58"/>
    </row>
    <row r="3" spans="2:9" s="4" customFormat="1" x14ac:dyDescent="0.25">
      <c r="C3" s="5">
        <v>2007</v>
      </c>
      <c r="D3" s="5">
        <v>2008</v>
      </c>
      <c r="E3" s="5">
        <v>2009</v>
      </c>
      <c r="G3" s="5">
        <v>2007</v>
      </c>
      <c r="H3" s="5">
        <v>2008</v>
      </c>
      <c r="I3" s="5">
        <v>2009</v>
      </c>
    </row>
    <row r="4" spans="2:9" x14ac:dyDescent="0.25">
      <c r="B4" s="1" t="s">
        <v>2</v>
      </c>
    </row>
    <row r="5" spans="2:9" x14ac:dyDescent="0.25">
      <c r="B5" s="1" t="s">
        <v>3</v>
      </c>
      <c r="C5" s="2">
        <v>5148.3100000000004</v>
      </c>
      <c r="D5" s="2">
        <v>4002.48</v>
      </c>
      <c r="E5" s="2">
        <v>3905.77</v>
      </c>
      <c r="G5" s="3">
        <v>1</v>
      </c>
      <c r="H5" s="3">
        <f>D5/C5</f>
        <v>0.77743570220130487</v>
      </c>
      <c r="I5" s="3">
        <f>E5/C5</f>
        <v>0.75865089709050149</v>
      </c>
    </row>
    <row r="6" spans="2:9" x14ac:dyDescent="0.25">
      <c r="B6" s="1" t="s">
        <v>4</v>
      </c>
      <c r="C6" s="2">
        <v>17097.75</v>
      </c>
      <c r="D6" s="2">
        <v>18462</v>
      </c>
      <c r="E6" s="2">
        <v>29356.86</v>
      </c>
      <c r="G6" s="3">
        <v>1</v>
      </c>
      <c r="H6" s="3">
        <f t="shared" ref="H6:H33" si="0">D6/C6</f>
        <v>1.0797912005965697</v>
      </c>
      <c r="I6" s="3">
        <f t="shared" ref="I6:I33" si="1">E6/C6</f>
        <v>1.7170013598280476</v>
      </c>
    </row>
    <row r="7" spans="2:9" ht="15.75" thickBot="1" x14ac:dyDescent="0.3">
      <c r="B7" s="1" t="s">
        <v>5</v>
      </c>
      <c r="C7" s="6">
        <v>18933.75</v>
      </c>
      <c r="D7" s="6">
        <v>33028.870000000003</v>
      </c>
      <c r="E7" s="6">
        <v>46658.62</v>
      </c>
      <c r="G7" s="7">
        <v>1</v>
      </c>
      <c r="H7" s="7">
        <f t="shared" si="0"/>
        <v>1.7444441803657491</v>
      </c>
      <c r="I7" s="56">
        <f t="shared" si="1"/>
        <v>2.4643095002310691</v>
      </c>
    </row>
    <row r="8" spans="2:9" x14ac:dyDescent="0.25">
      <c r="B8" s="1" t="s">
        <v>6</v>
      </c>
      <c r="C8" s="2">
        <f>SUM(C5:C7)</f>
        <v>41179.81</v>
      </c>
      <c r="D8" s="2">
        <f>SUM(D5:D7)</f>
        <v>55493.350000000006</v>
      </c>
      <c r="E8" s="2">
        <f>SUM(E5:E7)</f>
        <v>79921.25</v>
      </c>
      <c r="G8" s="3">
        <v>1</v>
      </c>
      <c r="H8" s="3">
        <f t="shared" si="0"/>
        <v>1.3475863536038657</v>
      </c>
      <c r="I8" s="3">
        <f t="shared" si="1"/>
        <v>1.9407872450115726</v>
      </c>
    </row>
    <row r="9" spans="2:9" x14ac:dyDescent="0.25">
      <c r="C9" s="2"/>
      <c r="D9" s="2"/>
      <c r="E9" s="2"/>
      <c r="G9" s="3"/>
      <c r="H9" s="3"/>
      <c r="I9" s="3"/>
    </row>
    <row r="10" spans="2:9" x14ac:dyDescent="0.25">
      <c r="B10" s="1" t="s">
        <v>7</v>
      </c>
      <c r="C10" s="2">
        <v>17760.75</v>
      </c>
      <c r="D10" s="2">
        <v>20100.37</v>
      </c>
      <c r="E10" s="2">
        <v>22873.5</v>
      </c>
      <c r="G10" s="3">
        <v>1</v>
      </c>
      <c r="H10" s="3">
        <f t="shared" si="0"/>
        <v>1.1317297974466167</v>
      </c>
      <c r="I10" s="3">
        <f t="shared" si="1"/>
        <v>1.287867910983489</v>
      </c>
    </row>
    <row r="11" spans="2:9" ht="15.75" thickBot="1" x14ac:dyDescent="0.3">
      <c r="B11" s="1" t="s">
        <v>8</v>
      </c>
      <c r="C11" s="6">
        <v>-2996.25</v>
      </c>
      <c r="D11" s="6">
        <v>-4653.75</v>
      </c>
      <c r="E11" s="6">
        <v>-6693.75</v>
      </c>
      <c r="G11" s="7">
        <v>1</v>
      </c>
      <c r="H11" s="7">
        <f t="shared" si="0"/>
        <v>1.553191489361702</v>
      </c>
      <c r="I11" s="7">
        <f t="shared" si="1"/>
        <v>2.2340425531914891</v>
      </c>
    </row>
    <row r="12" spans="2:9" x14ac:dyDescent="0.25">
      <c r="B12" s="1" t="s">
        <v>22</v>
      </c>
      <c r="C12" s="2">
        <f>C10+C11</f>
        <v>14764.5</v>
      </c>
      <c r="D12" s="2">
        <f>D10+D11</f>
        <v>15446.619999999999</v>
      </c>
      <c r="E12" s="2">
        <f>E10+E11</f>
        <v>16179.75</v>
      </c>
      <c r="G12" s="10">
        <v>1</v>
      </c>
      <c r="H12" s="3">
        <f t="shared" si="0"/>
        <v>1.0462000067730028</v>
      </c>
      <c r="I12" s="3">
        <f t="shared" si="1"/>
        <v>1.0958549222797926</v>
      </c>
    </row>
    <row r="13" spans="2:9" x14ac:dyDescent="0.25">
      <c r="C13" s="2"/>
      <c r="D13" s="2"/>
      <c r="E13" s="2"/>
      <c r="H13" s="3"/>
      <c r="I13" s="3"/>
    </row>
    <row r="14" spans="2:9" ht="15.75" thickBot="1" x14ac:dyDescent="0.3">
      <c r="B14" s="1" t="s">
        <v>9</v>
      </c>
      <c r="C14" s="8">
        <f>C8+C10+C11</f>
        <v>55944.31</v>
      </c>
      <c r="D14" s="8">
        <f>D8+D10+D11</f>
        <v>70939.97</v>
      </c>
      <c r="E14" s="8">
        <f>E8+E10+E11</f>
        <v>96101</v>
      </c>
      <c r="G14" s="9">
        <v>1</v>
      </c>
      <c r="H14" s="11">
        <f t="shared" si="0"/>
        <v>1.2680462052351706</v>
      </c>
      <c r="I14" s="11">
        <f t="shared" si="1"/>
        <v>1.7177975740517668</v>
      </c>
    </row>
    <row r="15" spans="2:9" ht="15.75" thickTop="1" x14ac:dyDescent="0.25">
      <c r="C15" s="2"/>
      <c r="D15" s="2"/>
      <c r="E15" s="2"/>
      <c r="H15" s="3"/>
      <c r="I15" s="3"/>
    </row>
    <row r="16" spans="2:9" x14ac:dyDescent="0.25">
      <c r="B16" s="1" t="s">
        <v>10</v>
      </c>
      <c r="C16" s="2"/>
      <c r="D16" s="2"/>
      <c r="E16" s="2"/>
      <c r="H16" s="3"/>
      <c r="I16" s="3"/>
    </row>
    <row r="17" spans="2:9" x14ac:dyDescent="0.25">
      <c r="B17" s="1" t="s">
        <v>11</v>
      </c>
      <c r="C17" s="2">
        <v>3187.5</v>
      </c>
      <c r="D17" s="2">
        <v>5100</v>
      </c>
      <c r="E17" s="2">
        <v>18232.5</v>
      </c>
      <c r="G17" s="3">
        <v>1</v>
      </c>
      <c r="H17" s="3">
        <f t="shared" si="0"/>
        <v>1.6</v>
      </c>
      <c r="I17" s="57">
        <f t="shared" si="1"/>
        <v>5.72</v>
      </c>
    </row>
    <row r="18" spans="2:9" x14ac:dyDescent="0.25">
      <c r="B18" s="1" t="s">
        <v>12</v>
      </c>
      <c r="C18" s="2">
        <v>6763.88</v>
      </c>
      <c r="D18" s="2">
        <v>10506.01</v>
      </c>
      <c r="E18" s="2">
        <v>19998.39</v>
      </c>
      <c r="G18" s="3">
        <v>1</v>
      </c>
      <c r="H18" s="3">
        <f t="shared" si="0"/>
        <v>1.5532519796329918</v>
      </c>
      <c r="I18" s="57">
        <f t="shared" si="1"/>
        <v>2.9566447068842141</v>
      </c>
    </row>
    <row r="19" spans="2:9" ht="15.75" thickBot="1" x14ac:dyDescent="0.3">
      <c r="B19" s="1" t="s">
        <v>13</v>
      </c>
      <c r="C19" s="6">
        <v>3442.5</v>
      </c>
      <c r="D19" s="6">
        <v>5100</v>
      </c>
      <c r="E19" s="6">
        <v>7331.28</v>
      </c>
      <c r="G19" s="7">
        <v>1</v>
      </c>
      <c r="H19" s="7">
        <f t="shared" si="0"/>
        <v>1.4814814814814814</v>
      </c>
      <c r="I19" s="7">
        <f t="shared" si="1"/>
        <v>2.1296383442265796</v>
      </c>
    </row>
    <row r="20" spans="2:9" x14ac:dyDescent="0.25">
      <c r="C20" s="2"/>
      <c r="D20" s="2"/>
      <c r="E20" s="2"/>
      <c r="G20" s="3"/>
      <c r="H20" s="3"/>
      <c r="I20" s="3"/>
    </row>
    <row r="21" spans="2:9" x14ac:dyDescent="0.25">
      <c r="B21" s="1" t="s">
        <v>14</v>
      </c>
      <c r="C21" s="2">
        <f>SUM(C17:C20)</f>
        <v>13393.880000000001</v>
      </c>
      <c r="D21" s="2">
        <f>SUM(D17:D20)</f>
        <v>20706.010000000002</v>
      </c>
      <c r="E21" s="2">
        <f>SUM(E17:E20)</f>
        <v>45562.17</v>
      </c>
      <c r="G21" s="3">
        <v>1</v>
      </c>
      <c r="H21" s="3">
        <f t="shared" si="0"/>
        <v>1.5459306787876255</v>
      </c>
      <c r="I21" s="3">
        <f t="shared" si="1"/>
        <v>3.4017155596436579</v>
      </c>
    </row>
    <row r="22" spans="2:9" x14ac:dyDescent="0.25">
      <c r="C22" s="2"/>
      <c r="D22" s="2"/>
      <c r="E22" s="2"/>
      <c r="G22" s="3"/>
      <c r="H22" s="3"/>
      <c r="I22" s="3"/>
    </row>
    <row r="23" spans="2:9" x14ac:dyDescent="0.25">
      <c r="B23" s="1" t="s">
        <v>19</v>
      </c>
      <c r="C23" s="2">
        <v>6375</v>
      </c>
      <c r="D23" s="2">
        <v>9562.5</v>
      </c>
      <c r="E23" s="2">
        <v>9562.5</v>
      </c>
      <c r="G23" s="3">
        <v>1</v>
      </c>
      <c r="H23" s="3">
        <f t="shared" si="0"/>
        <v>1.5</v>
      </c>
      <c r="I23" s="3">
        <f t="shared" si="1"/>
        <v>1.5</v>
      </c>
    </row>
    <row r="24" spans="2:9" ht="15.75" thickBot="1" x14ac:dyDescent="0.3">
      <c r="B24" s="1" t="s">
        <v>20</v>
      </c>
      <c r="C24" s="6">
        <v>2868.75</v>
      </c>
      <c r="D24" s="6">
        <v>2601</v>
      </c>
      <c r="E24" s="6">
        <v>2339.62</v>
      </c>
      <c r="G24" s="7">
        <v>1</v>
      </c>
      <c r="H24" s="7">
        <f t="shared" si="0"/>
        <v>0.90666666666666662</v>
      </c>
      <c r="I24" s="7">
        <f t="shared" si="1"/>
        <v>0.81555381263616555</v>
      </c>
    </row>
    <row r="25" spans="2:9" x14ac:dyDescent="0.25">
      <c r="C25" s="2"/>
      <c r="D25" s="2"/>
      <c r="E25" s="2"/>
      <c r="G25" s="3"/>
      <c r="H25" s="3"/>
      <c r="I25" s="3"/>
    </row>
    <row r="26" spans="2:9" x14ac:dyDescent="0.25">
      <c r="B26" s="1" t="s">
        <v>21</v>
      </c>
      <c r="C26" s="2">
        <f>C23+C24</f>
        <v>9243.75</v>
      </c>
      <c r="D26" s="2">
        <f>D23+D24</f>
        <v>12163.5</v>
      </c>
      <c r="E26" s="2">
        <f>E23+E24</f>
        <v>11902.119999999999</v>
      </c>
      <c r="G26" s="3">
        <v>1</v>
      </c>
      <c r="H26" s="3">
        <f t="shared" si="0"/>
        <v>1.3158620689655172</v>
      </c>
      <c r="I26" s="3">
        <f t="shared" si="1"/>
        <v>1.287585665990534</v>
      </c>
    </row>
    <row r="27" spans="2:9" x14ac:dyDescent="0.25">
      <c r="C27" s="2"/>
      <c r="D27" s="2"/>
      <c r="E27" s="2"/>
      <c r="G27" s="3"/>
      <c r="H27" s="3"/>
      <c r="I27" s="3"/>
    </row>
    <row r="28" spans="2:9" x14ac:dyDescent="0.25">
      <c r="B28" s="1" t="s">
        <v>15</v>
      </c>
      <c r="C28" s="2">
        <v>23269</v>
      </c>
      <c r="D28" s="2">
        <v>23269</v>
      </c>
      <c r="E28" s="2">
        <v>23269</v>
      </c>
      <c r="G28" s="3">
        <v>1</v>
      </c>
      <c r="H28" s="3">
        <f t="shared" si="0"/>
        <v>1</v>
      </c>
      <c r="I28" s="3">
        <f t="shared" si="1"/>
        <v>1</v>
      </c>
    </row>
    <row r="29" spans="2:9" ht="15.75" thickBot="1" x14ac:dyDescent="0.3">
      <c r="B29" s="1" t="s">
        <v>16</v>
      </c>
      <c r="C29" s="6">
        <v>10037.68</v>
      </c>
      <c r="D29" s="6">
        <v>14801.46</v>
      </c>
      <c r="E29" s="6">
        <v>15367.71</v>
      </c>
      <c r="G29" s="7">
        <v>1</v>
      </c>
      <c r="H29" s="7">
        <f t="shared" si="0"/>
        <v>1.4745897458376835</v>
      </c>
      <c r="I29" s="7">
        <f t="shared" si="1"/>
        <v>1.5310021837715486</v>
      </c>
    </row>
    <row r="30" spans="2:9" x14ac:dyDescent="0.25">
      <c r="C30" s="2"/>
      <c r="D30" s="2"/>
      <c r="E30" s="2"/>
      <c r="G30" s="3"/>
      <c r="H30" s="3"/>
      <c r="I30" s="3"/>
    </row>
    <row r="31" spans="2:9" ht="15.75" thickBot="1" x14ac:dyDescent="0.3">
      <c r="B31" s="1" t="s">
        <v>17</v>
      </c>
      <c r="C31" s="6">
        <f>C28+C29</f>
        <v>33306.68</v>
      </c>
      <c r="D31" s="6">
        <f>D28+D29</f>
        <v>38070.46</v>
      </c>
      <c r="E31" s="6">
        <f>E28+E29</f>
        <v>38636.71</v>
      </c>
      <c r="G31" s="7">
        <v>1</v>
      </c>
      <c r="H31" s="7">
        <f t="shared" si="0"/>
        <v>1.1430277650008946</v>
      </c>
      <c r="I31" s="7">
        <f t="shared" si="1"/>
        <v>1.1600288590757168</v>
      </c>
    </row>
    <row r="32" spans="2:9" x14ac:dyDescent="0.25">
      <c r="C32" s="2"/>
      <c r="D32" s="2"/>
      <c r="E32" s="2"/>
      <c r="G32" s="3"/>
      <c r="H32" s="3"/>
      <c r="I32" s="3"/>
    </row>
    <row r="33" spans="2:9" ht="15.75" thickBot="1" x14ac:dyDescent="0.3">
      <c r="B33" s="1" t="s">
        <v>10</v>
      </c>
      <c r="C33" s="8">
        <f>C31+C26+C21</f>
        <v>55944.31</v>
      </c>
      <c r="D33" s="8">
        <f>D31+D26+D21</f>
        <v>70939.97</v>
      </c>
      <c r="E33" s="8">
        <f>E31+E26+E21</f>
        <v>96101</v>
      </c>
      <c r="G33" s="11">
        <f>C33/$C$33</f>
        <v>1</v>
      </c>
      <c r="H33" s="11">
        <f t="shared" si="0"/>
        <v>1.2680462052351706</v>
      </c>
      <c r="I33" s="11">
        <f t="shared" si="1"/>
        <v>1.7177975740517668</v>
      </c>
    </row>
    <row r="34" spans="2:9" ht="15.75" thickTop="1" x14ac:dyDescent="0.25"/>
    <row r="36" spans="2:9" x14ac:dyDescent="0.25">
      <c r="B36" s="58" t="s">
        <v>35</v>
      </c>
      <c r="C36" s="58"/>
      <c r="D36" s="58"/>
      <c r="E36" s="58"/>
      <c r="F36" s="58"/>
      <c r="G36" s="58"/>
      <c r="H36" s="58"/>
      <c r="I36" s="58"/>
    </row>
    <row r="37" spans="2:9" x14ac:dyDescent="0.25">
      <c r="C37" s="12">
        <v>2007</v>
      </c>
      <c r="D37" s="12">
        <v>2008</v>
      </c>
      <c r="E37" s="12">
        <v>2009</v>
      </c>
      <c r="G37" s="12">
        <v>2007</v>
      </c>
      <c r="H37" s="12">
        <v>2008</v>
      </c>
      <c r="I37" s="12">
        <v>2009</v>
      </c>
    </row>
    <row r="39" spans="2:9" x14ac:dyDescent="0.25">
      <c r="B39" s="1" t="s">
        <v>24</v>
      </c>
      <c r="C39" s="2">
        <v>170997.5</v>
      </c>
      <c r="D39" s="2">
        <v>184658.25</v>
      </c>
      <c r="E39" s="2">
        <v>195731.63</v>
      </c>
      <c r="G39" s="3">
        <v>1</v>
      </c>
      <c r="H39" s="3">
        <f>D39/C39</f>
        <v>1.0798885948624979</v>
      </c>
      <c r="I39" s="3">
        <f>E39/C39</f>
        <v>1.1446461497975118</v>
      </c>
    </row>
    <row r="40" spans="2:9" x14ac:dyDescent="0.25">
      <c r="B40" s="1" t="s">
        <v>25</v>
      </c>
      <c r="C40" s="2">
        <v>-135267.74</v>
      </c>
      <c r="D40" s="2">
        <v>-150131.22</v>
      </c>
      <c r="E40" s="2">
        <v>-166642.57999999999</v>
      </c>
      <c r="G40" s="3">
        <v>1</v>
      </c>
      <c r="H40" s="3">
        <f t="shared" ref="H40:H54" si="2">D40/C40</f>
        <v>1.1098819275017089</v>
      </c>
      <c r="I40" s="3">
        <f t="shared" ref="I40:I54" si="3">E40/C40</f>
        <v>1.2319462127481393</v>
      </c>
    </row>
    <row r="41" spans="2:9" x14ac:dyDescent="0.25">
      <c r="C41" s="2"/>
      <c r="D41" s="2"/>
      <c r="E41" s="2"/>
      <c r="G41" s="3"/>
      <c r="H41" s="3"/>
      <c r="I41" s="3"/>
    </row>
    <row r="42" spans="2:9" x14ac:dyDescent="0.25">
      <c r="B42" s="1" t="s">
        <v>26</v>
      </c>
      <c r="C42" s="2">
        <f>C39+C40</f>
        <v>35729.760000000009</v>
      </c>
      <c r="D42" s="2">
        <f>D39+D40</f>
        <v>34527.03</v>
      </c>
      <c r="E42" s="2">
        <f>E39+E40</f>
        <v>29089.050000000017</v>
      </c>
      <c r="G42" s="3">
        <v>1</v>
      </c>
      <c r="H42" s="3">
        <f t="shared" si="2"/>
        <v>0.96633814500853044</v>
      </c>
      <c r="I42" s="3">
        <f t="shared" si="3"/>
        <v>0.81414064913954109</v>
      </c>
    </row>
    <row r="43" spans="2:9" x14ac:dyDescent="0.25">
      <c r="C43" s="2"/>
      <c r="D43" s="2"/>
      <c r="E43" s="2"/>
      <c r="G43" s="3"/>
      <c r="H43" s="3"/>
      <c r="I43" s="3"/>
    </row>
    <row r="44" spans="2:9" x14ac:dyDescent="0.25">
      <c r="B44" s="1" t="s">
        <v>27</v>
      </c>
      <c r="C44" s="2">
        <v>-12789.79</v>
      </c>
      <c r="D44" s="2">
        <v>-15344.64</v>
      </c>
      <c r="E44" s="2">
        <v>-16880.96</v>
      </c>
      <c r="G44" s="3">
        <v>1</v>
      </c>
      <c r="H44" s="3">
        <f t="shared" si="2"/>
        <v>1.1997569936644776</v>
      </c>
      <c r="I44" s="3">
        <f t="shared" si="3"/>
        <v>1.3198778087834122</v>
      </c>
    </row>
    <row r="45" spans="2:9" x14ac:dyDescent="0.25">
      <c r="B45" s="1" t="s">
        <v>28</v>
      </c>
      <c r="C45" s="2">
        <v>-1593.75</v>
      </c>
      <c r="D45" s="2">
        <v>-1657.5</v>
      </c>
      <c r="E45" s="2">
        <v>-2040</v>
      </c>
      <c r="G45" s="3">
        <v>1</v>
      </c>
      <c r="H45" s="3">
        <f t="shared" si="2"/>
        <v>1.04</v>
      </c>
      <c r="I45" s="3">
        <f t="shared" si="3"/>
        <v>1.28</v>
      </c>
    </row>
    <row r="46" spans="2:9" x14ac:dyDescent="0.25">
      <c r="B46" s="1" t="s">
        <v>29</v>
      </c>
      <c r="C46" s="2">
        <v>-2027.49</v>
      </c>
      <c r="D46" s="2">
        <v>-3557.25</v>
      </c>
      <c r="E46" s="2">
        <v>-5724.72</v>
      </c>
      <c r="G46" s="3">
        <v>1</v>
      </c>
      <c r="H46" s="3">
        <f t="shared" si="2"/>
        <v>1.7545092700827132</v>
      </c>
      <c r="I46" s="3">
        <f t="shared" si="3"/>
        <v>2.8235503011112262</v>
      </c>
    </row>
    <row r="47" spans="2:9" x14ac:dyDescent="0.25">
      <c r="C47" s="2"/>
      <c r="D47" s="2"/>
      <c r="E47" s="2"/>
      <c r="G47" s="3"/>
      <c r="H47" s="3"/>
      <c r="I47" s="3"/>
    </row>
    <row r="48" spans="2:9" x14ac:dyDescent="0.25">
      <c r="B48" s="1" t="s">
        <v>30</v>
      </c>
      <c r="C48" s="2">
        <f>C42+C44+C45+C46</f>
        <v>19318.730000000007</v>
      </c>
      <c r="D48" s="2">
        <f>D42+D44+D45+D46</f>
        <v>13967.64</v>
      </c>
      <c r="E48" s="2">
        <f>E42+E44+E45+E46</f>
        <v>4443.3700000000181</v>
      </c>
      <c r="G48" s="3">
        <v>1</v>
      </c>
      <c r="H48" s="3">
        <f t="shared" si="2"/>
        <v>0.72301025999121027</v>
      </c>
      <c r="I48" s="3">
        <f t="shared" si="3"/>
        <v>0.23000321449702008</v>
      </c>
    </row>
    <row r="49" spans="2:9" x14ac:dyDescent="0.25">
      <c r="C49" s="2"/>
      <c r="D49" s="2"/>
      <c r="E49" s="2"/>
      <c r="G49" s="3"/>
      <c r="H49" s="3"/>
      <c r="I49" s="3"/>
    </row>
    <row r="50" spans="2:9" x14ac:dyDescent="0.25">
      <c r="B50" s="1" t="s">
        <v>31</v>
      </c>
      <c r="C50" s="2">
        <f>-318.75-637.5-259.83</f>
        <v>-1216.08</v>
      </c>
      <c r="D50" s="2">
        <f>-561-956.25-235.58</f>
        <v>-1752.83</v>
      </c>
      <c r="E50" s="2">
        <f>-1823.25-956.25-211.9</f>
        <v>-2991.4</v>
      </c>
      <c r="G50" s="3">
        <v>1</v>
      </c>
      <c r="H50" s="3">
        <f t="shared" si="2"/>
        <v>1.4413772120255246</v>
      </c>
      <c r="I50" s="3">
        <f t="shared" si="3"/>
        <v>2.4598710611144008</v>
      </c>
    </row>
    <row r="51" spans="2:9" x14ac:dyDescent="0.25">
      <c r="C51" s="2"/>
      <c r="D51" s="2"/>
      <c r="E51" s="2"/>
      <c r="G51" s="3"/>
      <c r="H51" s="3"/>
      <c r="I51" s="3"/>
    </row>
    <row r="52" spans="2:9" x14ac:dyDescent="0.25">
      <c r="B52" s="1" t="s">
        <v>32</v>
      </c>
      <c r="C52" s="2">
        <f>C48+C50</f>
        <v>18102.650000000009</v>
      </c>
      <c r="D52" s="2">
        <f>D48+D50</f>
        <v>12214.81</v>
      </c>
      <c r="E52" s="2">
        <f>E48+E50</f>
        <v>1451.970000000018</v>
      </c>
      <c r="G52" s="3">
        <v>1</v>
      </c>
      <c r="H52" s="3">
        <f t="shared" si="2"/>
        <v>0.67475259147141409</v>
      </c>
      <c r="I52" s="3">
        <f t="shared" si="3"/>
        <v>8.0207593915808867E-2</v>
      </c>
    </row>
    <row r="53" spans="2:9" x14ac:dyDescent="0.25">
      <c r="C53" s="2"/>
      <c r="D53" s="2"/>
      <c r="E53" s="2"/>
      <c r="G53" s="3"/>
      <c r="H53" s="3"/>
      <c r="I53" s="3"/>
    </row>
    <row r="54" spans="2:9" x14ac:dyDescent="0.25">
      <c r="B54" s="1" t="s">
        <v>33</v>
      </c>
      <c r="C54" s="2">
        <v>-8689.26</v>
      </c>
      <c r="D54" s="2">
        <v>-5863.1</v>
      </c>
      <c r="E54" s="2">
        <v>-696.94</v>
      </c>
      <c r="G54" s="3">
        <v>1</v>
      </c>
      <c r="H54" s="3">
        <f t="shared" si="2"/>
        <v>0.67475251057052044</v>
      </c>
      <c r="I54" s="3">
        <f t="shared" si="3"/>
        <v>8.0207060209960351E-2</v>
      </c>
    </row>
    <row r="55" spans="2:9" x14ac:dyDescent="0.25">
      <c r="C55" s="2"/>
      <c r="D55" s="2"/>
      <c r="E55" s="2"/>
      <c r="G55" s="3"/>
      <c r="H55" s="3"/>
      <c r="I55" s="3"/>
    </row>
    <row r="56" spans="2:9" x14ac:dyDescent="0.25">
      <c r="B56" s="1" t="s">
        <v>34</v>
      </c>
      <c r="C56" s="2">
        <f>C52+C54</f>
        <v>9413.3900000000085</v>
      </c>
      <c r="D56" s="2">
        <f>D52+D54</f>
        <v>6351.7099999999991</v>
      </c>
      <c r="E56" s="2">
        <f>E52+E54</f>
        <v>755.03000000001794</v>
      </c>
      <c r="G56" s="3">
        <v>1</v>
      </c>
      <c r="H56" s="3">
        <f>D56/C56</f>
        <v>0.67475266614896368</v>
      </c>
      <c r="I56" s="3">
        <f>E56/C56</f>
        <v>8.0208086566052952E-2</v>
      </c>
    </row>
  </sheetData>
  <mergeCells count="4">
    <mergeCell ref="B1:I1"/>
    <mergeCell ref="B2:E2"/>
    <mergeCell ref="G2:I2"/>
    <mergeCell ref="B36:I3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1"/>
  <sheetViews>
    <sheetView zoomScale="90" zoomScaleNormal="90" workbookViewId="0">
      <selection activeCell="K7" sqref="K7"/>
    </sheetView>
  </sheetViews>
  <sheetFormatPr baseColWidth="10" defaultRowHeight="15" x14ac:dyDescent="0.25"/>
  <cols>
    <col min="1" max="1" width="11.42578125" style="1"/>
    <col min="2" max="2" width="49.85546875" style="1" customWidth="1"/>
    <col min="3" max="3" width="26.5703125" style="1" customWidth="1"/>
    <col min="4" max="4" width="11.42578125" style="2"/>
    <col min="5" max="5" width="7.42578125" style="3" bestFit="1" customWidth="1"/>
    <col min="6" max="6" width="11.42578125" style="2"/>
    <col min="7" max="7" width="7.42578125" style="3" bestFit="1" customWidth="1"/>
    <col min="8" max="8" width="11.42578125" style="2"/>
    <col min="9" max="9" width="11.42578125" style="3"/>
    <col min="10" max="16384" width="11.42578125" style="1"/>
  </cols>
  <sheetData>
    <row r="1" spans="2:9" x14ac:dyDescent="0.25">
      <c r="B1" s="59" t="s">
        <v>36</v>
      </c>
      <c r="C1" s="59"/>
      <c r="D1" s="59"/>
      <c r="E1" s="59"/>
      <c r="F1" s="59"/>
      <c r="G1" s="59"/>
      <c r="H1" s="59"/>
      <c r="I1" s="59"/>
    </row>
    <row r="2" spans="2:9" x14ac:dyDescent="0.25">
      <c r="B2" s="4" t="s">
        <v>37</v>
      </c>
    </row>
    <row r="4" spans="2:9" x14ac:dyDescent="0.25">
      <c r="B4" s="4" t="s">
        <v>40</v>
      </c>
    </row>
    <row r="6" spans="2:9" x14ac:dyDescent="0.25">
      <c r="B6" s="13" t="s">
        <v>38</v>
      </c>
      <c r="D6" s="60">
        <v>2007</v>
      </c>
      <c r="E6" s="60"/>
      <c r="F6" s="60">
        <v>2008</v>
      </c>
      <c r="G6" s="60"/>
      <c r="H6" s="60">
        <v>2009</v>
      </c>
      <c r="I6" s="60"/>
    </row>
    <row r="8" spans="2:9" x14ac:dyDescent="0.25">
      <c r="B8" s="15" t="s">
        <v>39</v>
      </c>
      <c r="C8" s="16" t="s">
        <v>65</v>
      </c>
      <c r="D8" s="17">
        <v>18102.650000000001</v>
      </c>
      <c r="E8" s="18">
        <f>D8/D9</f>
        <v>0.32358339927688806</v>
      </c>
      <c r="F8" s="17">
        <v>12214.81</v>
      </c>
      <c r="G8" s="18">
        <f>F8/F9</f>
        <v>0.17218515880398594</v>
      </c>
      <c r="H8" s="17">
        <v>1451.97</v>
      </c>
      <c r="I8" s="19">
        <f>H8/H9</f>
        <v>1.5108791791968867E-2</v>
      </c>
    </row>
    <row r="9" spans="2:9" x14ac:dyDescent="0.25">
      <c r="B9" s="20"/>
      <c r="D9" s="2">
        <v>55944.31</v>
      </c>
      <c r="E9" s="10"/>
      <c r="F9" s="2">
        <v>70939.97</v>
      </c>
      <c r="G9" s="10"/>
      <c r="H9" s="2">
        <v>96101</v>
      </c>
      <c r="I9" s="21"/>
    </row>
    <row r="10" spans="2:9" x14ac:dyDescent="0.25">
      <c r="B10" s="22"/>
      <c r="C10" s="23"/>
      <c r="D10" s="24"/>
      <c r="E10" s="25"/>
      <c r="F10" s="24"/>
      <c r="G10" s="25"/>
      <c r="H10" s="24"/>
      <c r="I10" s="26"/>
    </row>
    <row r="12" spans="2:9" x14ac:dyDescent="0.25">
      <c r="B12" s="15" t="s">
        <v>41</v>
      </c>
      <c r="C12" s="16" t="s">
        <v>66</v>
      </c>
      <c r="D12" s="17">
        <v>9413.39</v>
      </c>
      <c r="E12" s="18">
        <f>D12/D13</f>
        <v>0.16826358212300768</v>
      </c>
      <c r="F12" s="17">
        <v>6351.71</v>
      </c>
      <c r="G12" s="18">
        <f>F12/F13</f>
        <v>8.9536406626616841E-2</v>
      </c>
      <c r="H12" s="17">
        <v>755.03</v>
      </c>
      <c r="I12" s="19">
        <f>H12/H13</f>
        <v>7.8566300038501163E-3</v>
      </c>
    </row>
    <row r="13" spans="2:9" x14ac:dyDescent="0.25">
      <c r="B13" s="20"/>
      <c r="D13" s="2">
        <f>D9</f>
        <v>55944.31</v>
      </c>
      <c r="E13" s="10"/>
      <c r="F13" s="2">
        <f>F9</f>
        <v>70939.97</v>
      </c>
      <c r="G13" s="10"/>
      <c r="H13" s="2">
        <f>H9</f>
        <v>96101</v>
      </c>
      <c r="I13" s="21"/>
    </row>
    <row r="14" spans="2:9" x14ac:dyDescent="0.25">
      <c r="B14" s="22"/>
      <c r="C14" s="23"/>
      <c r="D14" s="24"/>
      <c r="E14" s="25"/>
      <c r="F14" s="24"/>
      <c r="G14" s="25"/>
      <c r="H14" s="24"/>
      <c r="I14" s="26"/>
    </row>
    <row r="16" spans="2:9" x14ac:dyDescent="0.25">
      <c r="B16" s="1" t="s">
        <v>42</v>
      </c>
    </row>
    <row r="18" spans="2:9" x14ac:dyDescent="0.25">
      <c r="B18" s="15" t="s">
        <v>43</v>
      </c>
      <c r="C18" s="16" t="s">
        <v>67</v>
      </c>
      <c r="D18" s="17">
        <v>18102.650000000001</v>
      </c>
      <c r="E18" s="18">
        <f>D18/D19</f>
        <v>0.54351409386945804</v>
      </c>
      <c r="F18" s="17">
        <v>12214.81</v>
      </c>
      <c r="G18" s="18">
        <f>F18/F19</f>
        <v>0.3208474497024727</v>
      </c>
      <c r="H18" s="17">
        <v>1451.97</v>
      </c>
      <c r="I18" s="19">
        <f>H18/H19</f>
        <v>3.7580063105787216E-2</v>
      </c>
    </row>
    <row r="19" spans="2:9" x14ac:dyDescent="0.25">
      <c r="B19" s="20"/>
      <c r="D19" s="2">
        <v>33306.68</v>
      </c>
      <c r="E19" s="10"/>
      <c r="F19" s="2">
        <v>38070.46</v>
      </c>
      <c r="G19" s="10"/>
      <c r="H19" s="2">
        <v>38636.71</v>
      </c>
      <c r="I19" s="21"/>
    </row>
    <row r="20" spans="2:9" x14ac:dyDescent="0.25">
      <c r="B20" s="22"/>
      <c r="C20" s="23"/>
      <c r="D20" s="24"/>
      <c r="E20" s="25"/>
      <c r="F20" s="24"/>
      <c r="G20" s="25"/>
      <c r="H20" s="24"/>
      <c r="I20" s="26"/>
    </row>
    <row r="22" spans="2:9" x14ac:dyDescent="0.25">
      <c r="B22" s="15" t="s">
        <v>44</v>
      </c>
      <c r="C22" s="16" t="s">
        <v>68</v>
      </c>
      <c r="D22" s="17">
        <v>9413.39</v>
      </c>
      <c r="E22" s="18">
        <f>D22/D23</f>
        <v>0.28262768910020453</v>
      </c>
      <c r="F22" s="17">
        <v>6351.71</v>
      </c>
      <c r="G22" s="18">
        <f>F22/F23</f>
        <v>0.16684090499563178</v>
      </c>
      <c r="H22" s="17">
        <v>755.03</v>
      </c>
      <c r="I22" s="19">
        <f>H22/H23</f>
        <v>1.9541777754886479E-2</v>
      </c>
    </row>
    <row r="23" spans="2:9" x14ac:dyDescent="0.25">
      <c r="B23" s="20"/>
      <c r="D23" s="2">
        <f>D19</f>
        <v>33306.68</v>
      </c>
      <c r="E23" s="10"/>
      <c r="F23" s="2">
        <f>F19</f>
        <v>38070.46</v>
      </c>
      <c r="G23" s="10"/>
      <c r="H23" s="2">
        <f>H19</f>
        <v>38636.71</v>
      </c>
      <c r="I23" s="21"/>
    </row>
    <row r="24" spans="2:9" x14ac:dyDescent="0.25">
      <c r="B24" s="22"/>
      <c r="C24" s="23"/>
      <c r="D24" s="24"/>
      <c r="E24" s="25"/>
      <c r="F24" s="24"/>
      <c r="G24" s="25"/>
      <c r="H24" s="24"/>
      <c r="I24" s="26"/>
    </row>
    <row r="26" spans="2:9" x14ac:dyDescent="0.25">
      <c r="B26" s="13" t="s">
        <v>45</v>
      </c>
    </row>
    <row r="28" spans="2:9" x14ac:dyDescent="0.25">
      <c r="B28" s="15" t="s">
        <v>46</v>
      </c>
      <c r="C28" s="16" t="s">
        <v>26</v>
      </c>
      <c r="D28" s="17">
        <v>35729.760000000002</v>
      </c>
      <c r="E28" s="18">
        <f>D28/D29</f>
        <v>0.20894901972251056</v>
      </c>
      <c r="F28" s="17">
        <v>34527.03</v>
      </c>
      <c r="G28" s="18">
        <f>F28/F29</f>
        <v>0.18697799854596261</v>
      </c>
      <c r="H28" s="17">
        <v>29089.05</v>
      </c>
      <c r="I28" s="19">
        <f>H28/H29</f>
        <v>0.14861701197706267</v>
      </c>
    </row>
    <row r="29" spans="2:9" x14ac:dyDescent="0.25">
      <c r="B29" s="22"/>
      <c r="C29" s="23"/>
      <c r="D29" s="24">
        <v>170997.5</v>
      </c>
      <c r="E29" s="25"/>
      <c r="F29" s="24">
        <v>184658.25</v>
      </c>
      <c r="G29" s="25"/>
      <c r="H29" s="24">
        <v>195731.63</v>
      </c>
      <c r="I29" s="26"/>
    </row>
    <row r="31" spans="2:9" x14ac:dyDescent="0.25">
      <c r="B31" s="15" t="s">
        <v>47</v>
      </c>
      <c r="C31" s="16" t="s">
        <v>48</v>
      </c>
      <c r="D31" s="17">
        <v>19318.73</v>
      </c>
      <c r="E31" s="18">
        <f>D31/D32</f>
        <v>0.11297668094562786</v>
      </c>
      <c r="F31" s="17">
        <v>13967.64</v>
      </c>
      <c r="G31" s="18">
        <f>F31/F32</f>
        <v>7.5640487224372582E-2</v>
      </c>
      <c r="H31" s="17">
        <v>4443.37</v>
      </c>
      <c r="I31" s="19">
        <f>H31/H32</f>
        <v>2.2701338562397911E-2</v>
      </c>
    </row>
    <row r="32" spans="2:9" x14ac:dyDescent="0.25">
      <c r="B32" s="22"/>
      <c r="C32" s="23"/>
      <c r="D32" s="24">
        <v>170997.5</v>
      </c>
      <c r="E32" s="25"/>
      <c r="F32" s="24">
        <v>184658.25</v>
      </c>
      <c r="G32" s="25"/>
      <c r="H32" s="24">
        <v>195731.63</v>
      </c>
      <c r="I32" s="26"/>
    </row>
    <row r="34" spans="2:9" x14ac:dyDescent="0.25">
      <c r="B34" s="15" t="s">
        <v>49</v>
      </c>
      <c r="C34" s="16" t="s">
        <v>52</v>
      </c>
      <c r="D34" s="17">
        <f>D18</f>
        <v>18102.650000000001</v>
      </c>
      <c r="E34" s="18">
        <f>D34/D35</f>
        <v>0.10586499802628695</v>
      </c>
      <c r="F34" s="17">
        <f>F18</f>
        <v>12214.81</v>
      </c>
      <c r="G34" s="18">
        <f>F34/F35</f>
        <v>6.6148195382551275E-2</v>
      </c>
      <c r="H34" s="17">
        <f>H18</f>
        <v>1451.97</v>
      </c>
      <c r="I34" s="19">
        <f>H34/H35</f>
        <v>7.4181674162729855E-3</v>
      </c>
    </row>
    <row r="35" spans="2:9" x14ac:dyDescent="0.25">
      <c r="B35" s="22"/>
      <c r="C35" s="23"/>
      <c r="D35" s="24">
        <v>170997.5</v>
      </c>
      <c r="E35" s="25"/>
      <c r="F35" s="24">
        <v>184658.25</v>
      </c>
      <c r="G35" s="25"/>
      <c r="H35" s="24">
        <v>195731.63</v>
      </c>
      <c r="I35" s="26"/>
    </row>
    <row r="37" spans="2:9" x14ac:dyDescent="0.25">
      <c r="B37" s="15" t="s">
        <v>50</v>
      </c>
      <c r="C37" s="16" t="s">
        <v>51</v>
      </c>
      <c r="D37" s="17">
        <f>D22</f>
        <v>9413.39</v>
      </c>
      <c r="E37" s="18">
        <f>D37/D38</f>
        <v>5.5049869150133768E-2</v>
      </c>
      <c r="F37" s="17">
        <f>F22</f>
        <v>6351.71</v>
      </c>
      <c r="G37" s="18">
        <f>F37/F38</f>
        <v>3.4397109254528296E-2</v>
      </c>
      <c r="H37" s="17">
        <f>H22</f>
        <v>755.03</v>
      </c>
      <c r="I37" s="19">
        <f>H37/H38</f>
        <v>3.8574756670651544E-3</v>
      </c>
    </row>
    <row r="38" spans="2:9" x14ac:dyDescent="0.25">
      <c r="B38" s="22"/>
      <c r="C38" s="23"/>
      <c r="D38" s="24">
        <v>170997.5</v>
      </c>
      <c r="E38" s="25"/>
      <c r="F38" s="24">
        <v>184658.25</v>
      </c>
      <c r="G38" s="25"/>
      <c r="H38" s="24">
        <v>195731.63</v>
      </c>
      <c r="I38" s="26"/>
    </row>
    <row r="40" spans="2:9" x14ac:dyDescent="0.25">
      <c r="B40" s="15" t="s">
        <v>53</v>
      </c>
      <c r="C40" s="16" t="s">
        <v>54</v>
      </c>
      <c r="D40" s="17">
        <f>D38</f>
        <v>170997.5</v>
      </c>
      <c r="E40" s="27">
        <f>D40/D41</f>
        <v>3.0565664318676915</v>
      </c>
      <c r="F40" s="17">
        <f>F38</f>
        <v>184658.25</v>
      </c>
      <c r="G40" s="27">
        <f>F40/F41</f>
        <v>2.6030212586782882</v>
      </c>
      <c r="H40" s="17">
        <f>H38</f>
        <v>195731.63</v>
      </c>
      <c r="I40" s="28">
        <f>H40/H41</f>
        <v>2.0367283378945067</v>
      </c>
    </row>
    <row r="41" spans="2:9" x14ac:dyDescent="0.25">
      <c r="B41" s="22"/>
      <c r="C41" s="23"/>
      <c r="D41" s="24">
        <f>D9</f>
        <v>55944.31</v>
      </c>
      <c r="E41" s="25"/>
      <c r="F41" s="24">
        <f>F9</f>
        <v>70939.97</v>
      </c>
      <c r="G41" s="25"/>
      <c r="H41" s="24">
        <f>H9</f>
        <v>96101</v>
      </c>
      <c r="I41" s="26"/>
    </row>
    <row r="43" spans="2:9" x14ac:dyDescent="0.25">
      <c r="B43" s="15" t="s">
        <v>55</v>
      </c>
      <c r="C43" s="16" t="s">
        <v>57</v>
      </c>
      <c r="D43" s="17">
        <f>D40</f>
        <v>170997.5</v>
      </c>
      <c r="E43" s="27">
        <f>D43/D44</f>
        <v>9.0313593450848355</v>
      </c>
      <c r="F43" s="17">
        <f>F40</f>
        <v>184658.25</v>
      </c>
      <c r="G43" s="27">
        <f>F43/F44</f>
        <v>5.590813430795543</v>
      </c>
      <c r="H43" s="17">
        <f>H40</f>
        <v>195731.63</v>
      </c>
      <c r="I43" s="28">
        <f>H43/H44</f>
        <v>4.1949725474092459</v>
      </c>
    </row>
    <row r="44" spans="2:9" x14ac:dyDescent="0.25">
      <c r="B44" s="22"/>
      <c r="C44" s="23"/>
      <c r="D44" s="24">
        <v>18933.75</v>
      </c>
      <c r="E44" s="29"/>
      <c r="F44" s="24">
        <v>33028.870000000003</v>
      </c>
      <c r="G44" s="29"/>
      <c r="H44" s="24">
        <v>46658.62</v>
      </c>
      <c r="I44" s="30"/>
    </row>
    <row r="45" spans="2:9" x14ac:dyDescent="0.25">
      <c r="E45" s="14"/>
      <c r="G45" s="14"/>
      <c r="I45" s="14"/>
    </row>
    <row r="46" spans="2:9" x14ac:dyDescent="0.25">
      <c r="B46" s="15" t="s">
        <v>56</v>
      </c>
      <c r="C46" s="16" t="s">
        <v>58</v>
      </c>
      <c r="D46" s="17">
        <v>135267.74</v>
      </c>
      <c r="E46" s="27">
        <f>D46/D47</f>
        <v>7.1442656631676238</v>
      </c>
      <c r="F46" s="17">
        <v>150131.22</v>
      </c>
      <c r="G46" s="27">
        <f>F46/F47</f>
        <v>4.5454543252615061</v>
      </c>
      <c r="H46" s="17">
        <v>166642.57999999999</v>
      </c>
      <c r="I46" s="28">
        <f>H46/H47</f>
        <v>3.5715282620874764</v>
      </c>
    </row>
    <row r="47" spans="2:9" x14ac:dyDescent="0.25">
      <c r="B47" s="22"/>
      <c r="C47" s="23"/>
      <c r="D47" s="24">
        <f>D44</f>
        <v>18933.75</v>
      </c>
      <c r="E47" s="29"/>
      <c r="F47" s="24">
        <f>F44</f>
        <v>33028.870000000003</v>
      </c>
      <c r="G47" s="29"/>
      <c r="H47" s="24">
        <f>H44</f>
        <v>46658.62</v>
      </c>
      <c r="I47" s="30"/>
    </row>
    <row r="48" spans="2:9" x14ac:dyDescent="0.25">
      <c r="E48" s="14"/>
      <c r="G48" s="14"/>
      <c r="I48" s="14"/>
    </row>
    <row r="49" spans="2:9" x14ac:dyDescent="0.25">
      <c r="B49" s="15" t="s">
        <v>59</v>
      </c>
      <c r="C49" s="16" t="s">
        <v>60</v>
      </c>
      <c r="D49" s="17">
        <f>D43</f>
        <v>170997.5</v>
      </c>
      <c r="E49" s="27">
        <f>D49/D50</f>
        <v>10.001169744557032</v>
      </c>
      <c r="F49" s="17">
        <f>F43</f>
        <v>184658.25</v>
      </c>
      <c r="G49" s="27">
        <f>F49/F50</f>
        <v>10.002071823204419</v>
      </c>
      <c r="H49" s="17">
        <f>H43</f>
        <v>195731.63</v>
      </c>
      <c r="I49" s="28">
        <f>H49/H50</f>
        <v>6.6673217094743782</v>
      </c>
    </row>
    <row r="50" spans="2:9" x14ac:dyDescent="0.25">
      <c r="B50" s="22"/>
      <c r="C50" s="23"/>
      <c r="D50" s="24">
        <v>17097.75</v>
      </c>
      <c r="E50" s="29"/>
      <c r="F50" s="24">
        <v>18462</v>
      </c>
      <c r="G50" s="29"/>
      <c r="H50" s="24">
        <v>29356.86</v>
      </c>
      <c r="I50" s="30"/>
    </row>
    <row r="51" spans="2:9" x14ac:dyDescent="0.25">
      <c r="E51" s="14"/>
      <c r="G51" s="14"/>
      <c r="I51" s="14"/>
    </row>
    <row r="52" spans="2:9" x14ac:dyDescent="0.25">
      <c r="B52" s="15" t="s">
        <v>89</v>
      </c>
      <c r="C52" s="16" t="s">
        <v>90</v>
      </c>
      <c r="D52" s="35">
        <f>D50</f>
        <v>17097.75</v>
      </c>
      <c r="E52" s="27">
        <f>D52/D53</f>
        <v>35.995789412125909</v>
      </c>
      <c r="F52" s="35">
        <f>F50</f>
        <v>18462</v>
      </c>
      <c r="G52" s="27">
        <f>F52/F53</f>
        <v>35.992542981426503</v>
      </c>
      <c r="H52" s="35">
        <f>H50</f>
        <v>29356.86</v>
      </c>
      <c r="I52" s="28">
        <f>H52/H53</f>
        <v>53.994694674539829</v>
      </c>
    </row>
    <row r="53" spans="2:9" x14ac:dyDescent="0.25">
      <c r="B53" s="22"/>
      <c r="C53" s="23"/>
      <c r="D53" s="24">
        <f>D49/360</f>
        <v>474.99305555555554</v>
      </c>
      <c r="E53" s="29"/>
      <c r="F53" s="24">
        <f>F49/360</f>
        <v>512.9395833333333</v>
      </c>
      <c r="G53" s="29"/>
      <c r="H53" s="24">
        <f>H49/360</f>
        <v>543.69897222222221</v>
      </c>
      <c r="I53" s="30"/>
    </row>
    <row r="54" spans="2:9" x14ac:dyDescent="0.25">
      <c r="E54" s="14"/>
      <c r="G54" s="14"/>
      <c r="I54" s="14"/>
    </row>
    <row r="55" spans="2:9" x14ac:dyDescent="0.25">
      <c r="B55" s="15" t="s">
        <v>61</v>
      </c>
      <c r="C55" s="16" t="s">
        <v>63</v>
      </c>
      <c r="D55" s="17">
        <f>D49</f>
        <v>170997.5</v>
      </c>
      <c r="E55" s="27">
        <f>D55/D56</f>
        <v>9.6278310319102509</v>
      </c>
      <c r="F55" s="17">
        <f>F49</f>
        <v>184658.25</v>
      </c>
      <c r="G55" s="27">
        <f>F55/F56</f>
        <v>9.1868085015350474</v>
      </c>
      <c r="H55" s="17">
        <f>H49</f>
        <v>195731.63</v>
      </c>
      <c r="I55" s="28">
        <f>H55/H56</f>
        <v>8.5571351126849855</v>
      </c>
    </row>
    <row r="56" spans="2:9" x14ac:dyDescent="0.25">
      <c r="B56" s="22"/>
      <c r="C56" s="23"/>
      <c r="D56" s="24">
        <v>17760.75</v>
      </c>
      <c r="E56" s="29"/>
      <c r="F56" s="24">
        <v>20100.37</v>
      </c>
      <c r="G56" s="29"/>
      <c r="H56" s="24">
        <v>22873.5</v>
      </c>
      <c r="I56" s="30"/>
    </row>
    <row r="57" spans="2:9" x14ac:dyDescent="0.25">
      <c r="E57" s="14"/>
      <c r="G57" s="14"/>
      <c r="I57" s="14"/>
    </row>
    <row r="58" spans="2:9" x14ac:dyDescent="0.25">
      <c r="B58" s="15" t="s">
        <v>62</v>
      </c>
      <c r="C58" s="16" t="s">
        <v>64</v>
      </c>
      <c r="D58" s="17">
        <f>D55</f>
        <v>170997.5</v>
      </c>
      <c r="E58" s="27">
        <f>D58/D59</f>
        <v>11.581665481391175</v>
      </c>
      <c r="F58" s="17">
        <f>F55</f>
        <v>184658.25</v>
      </c>
      <c r="G58" s="27">
        <f>F58/F59</f>
        <v>11.954605603038075</v>
      </c>
      <c r="H58" s="17">
        <f>H55</f>
        <v>195731.63</v>
      </c>
      <c r="I58" s="28">
        <f>H58/H59</f>
        <v>12.09732103400856</v>
      </c>
    </row>
    <row r="59" spans="2:9" x14ac:dyDescent="0.25">
      <c r="B59" s="22"/>
      <c r="C59" s="23"/>
      <c r="D59" s="24">
        <v>14764.5</v>
      </c>
      <c r="E59" s="29"/>
      <c r="F59" s="24">
        <v>15446.62</v>
      </c>
      <c r="G59" s="29"/>
      <c r="H59" s="24">
        <v>16179.75</v>
      </c>
      <c r="I59" s="30"/>
    </row>
    <row r="61" spans="2:9" x14ac:dyDescent="0.25">
      <c r="B61" s="15" t="s">
        <v>92</v>
      </c>
      <c r="C61" s="16" t="s">
        <v>91</v>
      </c>
      <c r="D61" s="17">
        <v>18933.75</v>
      </c>
      <c r="E61" s="27">
        <f>D61/D62</f>
        <v>51.089925432331469</v>
      </c>
      <c r="F61" s="17">
        <v>33028.870000000003</v>
      </c>
      <c r="G61" s="27">
        <f>F61/F62</f>
        <v>80.299693669162707</v>
      </c>
      <c r="H61" s="17">
        <v>46658.62</v>
      </c>
      <c r="I61" s="28">
        <f>H61/H62</f>
        <v>102.19603118976696</v>
      </c>
    </row>
    <row r="62" spans="2:9" x14ac:dyDescent="0.25">
      <c r="B62" s="22"/>
      <c r="C62" s="23"/>
      <c r="D62" s="24">
        <f>-Vertical!C40/365</f>
        <v>370.59654794520543</v>
      </c>
      <c r="E62" s="25"/>
      <c r="F62" s="24">
        <v>411.32</v>
      </c>
      <c r="G62" s="25"/>
      <c r="H62" s="24">
        <v>456.56</v>
      </c>
      <c r="I62" s="26"/>
    </row>
    <row r="64" spans="2:9" x14ac:dyDescent="0.25">
      <c r="B64" s="13" t="s">
        <v>69</v>
      </c>
    </row>
    <row r="66" spans="2:9" x14ac:dyDescent="0.25">
      <c r="B66" s="15" t="s">
        <v>70</v>
      </c>
      <c r="C66" s="16" t="s">
        <v>75</v>
      </c>
      <c r="D66" s="17">
        <v>22637.63</v>
      </c>
      <c r="E66" s="18">
        <f>D66/D67</f>
        <v>0.67967236602387271</v>
      </c>
      <c r="F66" s="17">
        <v>32869.51</v>
      </c>
      <c r="G66" s="18">
        <f>F66/F67</f>
        <v>0.86338620547269462</v>
      </c>
      <c r="H66" s="17">
        <v>57464.29</v>
      </c>
      <c r="I66" s="19">
        <f>H66/H67</f>
        <v>1.4872977021076588</v>
      </c>
    </row>
    <row r="67" spans="2:9" x14ac:dyDescent="0.25">
      <c r="B67" s="22"/>
      <c r="C67" s="23"/>
      <c r="D67" s="24">
        <v>33306.68</v>
      </c>
      <c r="E67" s="25"/>
      <c r="F67" s="24">
        <v>38070.46</v>
      </c>
      <c r="G67" s="25"/>
      <c r="H67" s="24">
        <v>38636.71</v>
      </c>
      <c r="I67" s="26"/>
    </row>
    <row r="69" spans="2:9" x14ac:dyDescent="0.25">
      <c r="B69" s="15" t="s">
        <v>72</v>
      </c>
      <c r="C69" s="16" t="s">
        <v>76</v>
      </c>
      <c r="D69" s="17">
        <v>9243.75</v>
      </c>
      <c r="E69" s="18">
        <f>D69/D70</f>
        <v>0.27753441651944893</v>
      </c>
      <c r="F69" s="17">
        <v>12163.5</v>
      </c>
      <c r="G69" s="18">
        <f>F69/F70</f>
        <v>0.31949968558299535</v>
      </c>
      <c r="H69" s="17">
        <v>11902.12</v>
      </c>
      <c r="I69" s="19">
        <f>H69/H70</f>
        <v>0.30805210899168178</v>
      </c>
    </row>
    <row r="70" spans="2:9" x14ac:dyDescent="0.25">
      <c r="B70" s="22"/>
      <c r="C70" s="23"/>
      <c r="D70" s="24">
        <v>33306.68</v>
      </c>
      <c r="E70" s="25"/>
      <c r="F70" s="24">
        <v>38070.46</v>
      </c>
      <c r="G70" s="25"/>
      <c r="H70" s="24">
        <v>38636.71</v>
      </c>
      <c r="I70" s="26"/>
    </row>
    <row r="72" spans="2:9" x14ac:dyDescent="0.25">
      <c r="B72" s="15" t="s">
        <v>73</v>
      </c>
      <c r="C72" s="16" t="s">
        <v>77</v>
      </c>
      <c r="D72" s="17">
        <f>D66</f>
        <v>22637.63</v>
      </c>
      <c r="E72" s="18">
        <f>D72/D73</f>
        <v>0.40464579865226691</v>
      </c>
      <c r="F72" s="17">
        <f>F66</f>
        <v>32869.51</v>
      </c>
      <c r="G72" s="18">
        <f>F72/F73</f>
        <v>0.46334259797403354</v>
      </c>
      <c r="H72" s="17">
        <f>H66</f>
        <v>57464.29</v>
      </c>
      <c r="I72" s="19">
        <f>H72/H73</f>
        <v>0.59795725330641725</v>
      </c>
    </row>
    <row r="73" spans="2:9" x14ac:dyDescent="0.25">
      <c r="B73" s="22"/>
      <c r="C73" s="23"/>
      <c r="D73" s="24">
        <v>55944.31</v>
      </c>
      <c r="E73" s="25"/>
      <c r="F73" s="24">
        <v>70939.97</v>
      </c>
      <c r="G73" s="25"/>
      <c r="H73" s="24">
        <v>96101</v>
      </c>
      <c r="I73" s="26"/>
    </row>
    <row r="75" spans="2:9" x14ac:dyDescent="0.25">
      <c r="B75" s="15" t="s">
        <v>74</v>
      </c>
      <c r="C75" s="16" t="s">
        <v>71</v>
      </c>
      <c r="D75" s="17">
        <f>D73</f>
        <v>55944.31</v>
      </c>
      <c r="E75" s="27">
        <f>D75/D76</f>
        <v>1.6796723660238726</v>
      </c>
      <c r="F75" s="17">
        <f>F73</f>
        <v>70939.97</v>
      </c>
      <c r="G75" s="27">
        <f>F75/F76</f>
        <v>1.8633862054726946</v>
      </c>
      <c r="H75" s="17">
        <f>H73</f>
        <v>96101</v>
      </c>
      <c r="I75" s="28">
        <f>H75/H76</f>
        <v>2.487297702107659</v>
      </c>
    </row>
    <row r="76" spans="2:9" x14ac:dyDescent="0.25">
      <c r="B76" s="22"/>
      <c r="C76" s="23"/>
      <c r="D76" s="24">
        <f>D67</f>
        <v>33306.68</v>
      </c>
      <c r="E76" s="29"/>
      <c r="F76" s="24">
        <f>F67</f>
        <v>38070.46</v>
      </c>
      <c r="G76" s="29"/>
      <c r="H76" s="24">
        <f>H67</f>
        <v>38636.71</v>
      </c>
      <c r="I76" s="30"/>
    </row>
    <row r="78" spans="2:9" x14ac:dyDescent="0.25">
      <c r="B78" s="13" t="s">
        <v>78</v>
      </c>
    </row>
    <row r="80" spans="2:9" x14ac:dyDescent="0.25">
      <c r="B80" s="15" t="s">
        <v>79</v>
      </c>
      <c r="C80" s="16" t="s">
        <v>83</v>
      </c>
      <c r="D80" s="17">
        <v>41179.81</v>
      </c>
      <c r="E80" s="27">
        <f>D80/D81</f>
        <v>3.0745243349947886</v>
      </c>
      <c r="F80" s="17">
        <v>55493.35</v>
      </c>
      <c r="G80" s="27">
        <f>F80/F81</f>
        <v>2.680060040538955</v>
      </c>
      <c r="H80" s="17">
        <v>79921.25</v>
      </c>
      <c r="I80" s="28">
        <f>H80/H81</f>
        <v>1.7541142136118628</v>
      </c>
    </row>
    <row r="81" spans="2:9" x14ac:dyDescent="0.25">
      <c r="B81" s="22"/>
      <c r="C81" s="23"/>
      <c r="D81" s="24">
        <v>13393.88</v>
      </c>
      <c r="E81" s="29"/>
      <c r="F81" s="24">
        <v>20706.009999999998</v>
      </c>
      <c r="G81" s="29"/>
      <c r="H81" s="24">
        <v>45562.17</v>
      </c>
      <c r="I81" s="30"/>
    </row>
    <row r="83" spans="2:9" x14ac:dyDescent="0.25">
      <c r="B83" s="15" t="s">
        <v>80</v>
      </c>
      <c r="C83" s="16" t="s">
        <v>84</v>
      </c>
      <c r="D83" s="17">
        <v>22246.06</v>
      </c>
      <c r="E83" s="27">
        <f>D83/D84</f>
        <v>1.6609122972581509</v>
      </c>
      <c r="F83" s="17">
        <v>22464.48</v>
      </c>
      <c r="G83" s="27">
        <f>F83/F84</f>
        <v>1.0849255844076189</v>
      </c>
      <c r="H83" s="17">
        <v>33262.629999999997</v>
      </c>
      <c r="I83" s="28">
        <f>H83/H84</f>
        <v>0.73004929308678668</v>
      </c>
    </row>
    <row r="84" spans="2:9" x14ac:dyDescent="0.25">
      <c r="B84" s="22"/>
      <c r="C84" s="23"/>
      <c r="D84" s="24">
        <v>13393.88</v>
      </c>
      <c r="E84" s="29"/>
      <c r="F84" s="24">
        <v>20706.009999999998</v>
      </c>
      <c r="G84" s="29"/>
      <c r="H84" s="24">
        <v>45562.17</v>
      </c>
      <c r="I84" s="30"/>
    </row>
    <row r="86" spans="2:9" x14ac:dyDescent="0.25">
      <c r="B86" s="15" t="s">
        <v>81</v>
      </c>
      <c r="C86" s="16" t="s">
        <v>85</v>
      </c>
      <c r="D86" s="17">
        <v>5148.3100000000004</v>
      </c>
      <c r="E86" s="27">
        <f>D86/D87</f>
        <v>0.38437779045355047</v>
      </c>
      <c r="F86" s="17">
        <v>4002.48</v>
      </c>
      <c r="G86" s="27">
        <f>F86/F87</f>
        <v>0.19330039925606143</v>
      </c>
      <c r="H86" s="17">
        <v>3905.77</v>
      </c>
      <c r="I86" s="28">
        <f>H86/H87</f>
        <v>8.5723967932168285E-2</v>
      </c>
    </row>
    <row r="87" spans="2:9" x14ac:dyDescent="0.25">
      <c r="B87" s="22"/>
      <c r="C87" s="23"/>
      <c r="D87" s="24">
        <v>13393.88</v>
      </c>
      <c r="E87" s="29"/>
      <c r="F87" s="24">
        <v>20706.009999999998</v>
      </c>
      <c r="G87" s="29"/>
      <c r="H87" s="24">
        <v>45562.17</v>
      </c>
      <c r="I87" s="30"/>
    </row>
    <row r="89" spans="2:9" x14ac:dyDescent="0.25">
      <c r="B89" s="15" t="s">
        <v>82</v>
      </c>
      <c r="C89" s="16" t="s">
        <v>86</v>
      </c>
      <c r="D89" s="17">
        <v>22246.06</v>
      </c>
      <c r="E89" s="27">
        <f>D89/D90</f>
        <v>54.101656168681146</v>
      </c>
      <c r="F89" s="17">
        <v>22464.48</v>
      </c>
      <c r="G89" s="27">
        <f>F89/F90</f>
        <v>48.508918160224567</v>
      </c>
      <c r="H89" s="17">
        <v>33262.629999999997</v>
      </c>
      <c r="I89" s="28">
        <f>H89/H90</f>
        <v>64.152886265887474</v>
      </c>
    </row>
    <row r="90" spans="2:9" x14ac:dyDescent="0.25">
      <c r="B90" s="20"/>
      <c r="C90" s="1" t="s">
        <v>87</v>
      </c>
      <c r="D90" s="2">
        <v>411.19</v>
      </c>
      <c r="E90" s="31"/>
      <c r="F90" s="2">
        <v>463.1</v>
      </c>
      <c r="G90" s="31"/>
      <c r="H90" s="2">
        <v>518.49</v>
      </c>
      <c r="I90" s="32"/>
    </row>
    <row r="91" spans="2:9" x14ac:dyDescent="0.25">
      <c r="B91" s="20"/>
      <c r="E91" s="10"/>
      <c r="G91" s="10"/>
      <c r="I91" s="21"/>
    </row>
    <row r="92" spans="2:9" x14ac:dyDescent="0.25">
      <c r="B92" s="20"/>
      <c r="C92" s="1" t="s">
        <v>88</v>
      </c>
      <c r="D92" s="33">
        <f>D90*365</f>
        <v>150084.35</v>
      </c>
      <c r="E92" s="34">
        <f>D92/D93</f>
        <v>411.19</v>
      </c>
      <c r="G92" s="10"/>
      <c r="I92" s="21"/>
    </row>
    <row r="93" spans="2:9" x14ac:dyDescent="0.25">
      <c r="B93" s="22"/>
      <c r="C93" s="23"/>
      <c r="D93" s="24">
        <v>365</v>
      </c>
      <c r="E93" s="25"/>
      <c r="F93" s="24"/>
      <c r="G93" s="25"/>
      <c r="H93" s="24"/>
      <c r="I93" s="26"/>
    </row>
    <row r="95" spans="2:9" x14ac:dyDescent="0.25">
      <c r="B95" s="13" t="s">
        <v>93</v>
      </c>
    </row>
    <row r="97" spans="2:9" x14ac:dyDescent="0.25">
      <c r="B97" s="15" t="s">
        <v>95</v>
      </c>
      <c r="C97" s="16" t="s">
        <v>94</v>
      </c>
      <c r="D97" s="17">
        <f>D37</f>
        <v>9413.39</v>
      </c>
      <c r="E97" s="35">
        <f>D97/D98</f>
        <v>2.68954</v>
      </c>
      <c r="F97" s="17">
        <f>F37</f>
        <v>6351.71</v>
      </c>
      <c r="G97" s="35">
        <f>F97/F98</f>
        <v>1.8147742857142857</v>
      </c>
      <c r="H97" s="17">
        <f>H37</f>
        <v>755.03</v>
      </c>
      <c r="I97" s="28">
        <f>H97/H98</f>
        <v>0.21572285714285713</v>
      </c>
    </row>
    <row r="98" spans="2:9" x14ac:dyDescent="0.25">
      <c r="B98" s="22"/>
      <c r="C98" s="23"/>
      <c r="D98" s="24">
        <v>3500</v>
      </c>
      <c r="E98" s="25"/>
      <c r="F98" s="24">
        <v>3500</v>
      </c>
      <c r="G98" s="25"/>
      <c r="H98" s="24">
        <v>3500</v>
      </c>
      <c r="I98" s="26"/>
    </row>
    <row r="100" spans="2:9" x14ac:dyDescent="0.25">
      <c r="B100" s="15" t="s">
        <v>96</v>
      </c>
      <c r="C100" s="16" t="s">
        <v>97</v>
      </c>
      <c r="D100" s="17">
        <v>17.79</v>
      </c>
      <c r="E100" s="27">
        <f>D100/D101</f>
        <v>6.6145140061125689</v>
      </c>
      <c r="F100" s="17">
        <v>9.69</v>
      </c>
      <c r="G100" s="27">
        <f>F100/F101</f>
        <v>5.3395069989026576</v>
      </c>
      <c r="H100" s="17">
        <v>1.02</v>
      </c>
      <c r="I100" s="28">
        <f>H100/H101</f>
        <v>4.7282889421612389</v>
      </c>
    </row>
    <row r="101" spans="2:9" x14ac:dyDescent="0.25">
      <c r="B101" s="22"/>
      <c r="C101" s="23"/>
      <c r="D101" s="24">
        <f>E97</f>
        <v>2.68954</v>
      </c>
      <c r="E101" s="25"/>
      <c r="F101" s="24">
        <f>G97</f>
        <v>1.8147742857142857</v>
      </c>
      <c r="G101" s="25"/>
      <c r="H101" s="24">
        <f>I97</f>
        <v>0.21572285714285713</v>
      </c>
      <c r="I101" s="26"/>
    </row>
  </sheetData>
  <mergeCells count="4">
    <mergeCell ref="B1:I1"/>
    <mergeCell ref="D6:E6"/>
    <mergeCell ref="F6:G6"/>
    <mergeCell ref="H6:I6"/>
  </mergeCells>
  <pageMargins left="0.7" right="0.7" top="0.75" bottom="0.75" header="0.3" footer="0.3"/>
  <pageSetup paperSize="9" orientation="portrait" horizontalDpi="0" verticalDpi="0" r:id="rId1"/>
  <ignoredErrors>
    <ignoredError sqref="E34:H37 E40:H43 E55:G55 E57:G58 E56 G56 H55:H58 E72:H75 E49:H52 E97:H9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E19" sqref="E19"/>
    </sheetView>
  </sheetViews>
  <sheetFormatPr baseColWidth="10" defaultRowHeight="15" x14ac:dyDescent="0.25"/>
  <cols>
    <col min="1" max="1" width="39.85546875" style="1" bestFit="1" customWidth="1"/>
    <col min="2" max="2" width="18.140625" style="1" bestFit="1" customWidth="1"/>
    <col min="3" max="5" width="11.42578125" style="1"/>
    <col min="6" max="6" width="17.85546875" style="1" bestFit="1" customWidth="1"/>
    <col min="7" max="16384" width="11.42578125" style="1"/>
  </cols>
  <sheetData>
    <row r="1" spans="1:7" x14ac:dyDescent="0.25">
      <c r="A1" s="60" t="s">
        <v>98</v>
      </c>
      <c r="B1" s="60"/>
      <c r="C1" s="60"/>
      <c r="D1" s="60"/>
      <c r="E1" s="60"/>
      <c r="F1" s="60"/>
      <c r="G1" s="60"/>
    </row>
    <row r="3" spans="1:7" x14ac:dyDescent="0.25">
      <c r="B3" s="1" t="s">
        <v>106</v>
      </c>
      <c r="C3" s="12">
        <v>2007</v>
      </c>
      <c r="D3" s="12">
        <v>2008</v>
      </c>
      <c r="E3" s="12">
        <v>2009</v>
      </c>
      <c r="F3" s="1" t="s">
        <v>107</v>
      </c>
    </row>
    <row r="4" spans="1:7" x14ac:dyDescent="0.25">
      <c r="A4" s="1" t="s">
        <v>83</v>
      </c>
      <c r="B4" s="38">
        <v>2.5</v>
      </c>
      <c r="C4" s="41">
        <f>Ratios!E80</f>
        <v>3.0745243349947886</v>
      </c>
      <c r="D4" s="41">
        <f>Ratios!G80</f>
        <v>2.680060040538955</v>
      </c>
      <c r="E4" s="41">
        <f>Ratios!I80</f>
        <v>1.7541142136118628</v>
      </c>
      <c r="F4" s="42">
        <f>(C4+D4+E4)/3</f>
        <v>2.5028995297152021</v>
      </c>
    </row>
    <row r="5" spans="1:7" x14ac:dyDescent="0.25">
      <c r="B5" s="36"/>
      <c r="C5" s="12"/>
      <c r="D5" s="12"/>
      <c r="E5" s="12"/>
      <c r="F5" s="37"/>
    </row>
    <row r="6" spans="1:7" x14ac:dyDescent="0.25">
      <c r="A6" s="1" t="s">
        <v>99</v>
      </c>
      <c r="B6" s="38">
        <v>1</v>
      </c>
      <c r="C6" s="41">
        <f>Ratios!E83</f>
        <v>1.6609122972581509</v>
      </c>
      <c r="D6" s="41">
        <f>Ratios!G83</f>
        <v>1.0849255844076189</v>
      </c>
      <c r="E6" s="41">
        <f>Ratios!I83</f>
        <v>0.73004929308678668</v>
      </c>
      <c r="F6" s="42">
        <f t="shared" ref="F6:F18" si="0">(C6+D6+E6)/3</f>
        <v>1.1586290582508521</v>
      </c>
    </row>
    <row r="7" spans="1:7" x14ac:dyDescent="0.25">
      <c r="B7" s="36"/>
      <c r="C7" s="12"/>
      <c r="D7" s="12"/>
      <c r="E7" s="12"/>
      <c r="F7" s="37"/>
    </row>
    <row r="8" spans="1:7" x14ac:dyDescent="0.25">
      <c r="A8" s="1" t="s">
        <v>100</v>
      </c>
      <c r="B8" s="39">
        <v>0.5</v>
      </c>
      <c r="C8" s="43">
        <f>Ratios!E66</f>
        <v>0.67967236602387271</v>
      </c>
      <c r="D8" s="43">
        <f>Ratios!G66</f>
        <v>0.86338620547269462</v>
      </c>
      <c r="E8" s="43">
        <f>Ratios!I66</f>
        <v>1.4872977021076588</v>
      </c>
      <c r="F8" s="44">
        <f t="shared" si="0"/>
        <v>1.0101187578680753</v>
      </c>
    </row>
    <row r="9" spans="1:7" x14ac:dyDescent="0.25">
      <c r="B9" s="36"/>
      <c r="C9" s="12"/>
      <c r="D9" s="12"/>
      <c r="E9" s="12"/>
      <c r="F9" s="37"/>
    </row>
    <row r="10" spans="1:7" x14ac:dyDescent="0.25">
      <c r="A10" s="1" t="s">
        <v>101</v>
      </c>
      <c r="B10" s="38">
        <v>7.7</v>
      </c>
      <c r="C10" s="41">
        <f>Ratios!E43</f>
        <v>9.0313593450848355</v>
      </c>
      <c r="D10" s="41">
        <f>Ratios!G43</f>
        <v>5.590813430795543</v>
      </c>
      <c r="E10" s="41">
        <f>Ratios!I43</f>
        <v>4.1949725474092459</v>
      </c>
      <c r="F10" s="42">
        <f t="shared" si="0"/>
        <v>6.2723817744298751</v>
      </c>
    </row>
    <row r="11" spans="1:7" x14ac:dyDescent="0.25">
      <c r="B11" s="36"/>
      <c r="C11" s="12"/>
      <c r="D11" s="12"/>
      <c r="E11" s="12"/>
      <c r="F11" s="37"/>
    </row>
    <row r="12" spans="1:7" x14ac:dyDescent="0.25">
      <c r="A12" s="1" t="s">
        <v>102</v>
      </c>
      <c r="B12" s="36">
        <v>32</v>
      </c>
      <c r="C12" s="46">
        <f>Ratios!E52</f>
        <v>35.995789412125909</v>
      </c>
      <c r="D12" s="46">
        <f>Ratios!G52</f>
        <v>35.992542981426503</v>
      </c>
      <c r="E12" s="46">
        <f>Ratios!I52</f>
        <v>53.994694674539829</v>
      </c>
      <c r="F12" s="45">
        <f t="shared" si="0"/>
        <v>41.994342356030749</v>
      </c>
    </row>
    <row r="13" spans="1:7" x14ac:dyDescent="0.25">
      <c r="B13" s="36"/>
      <c r="C13" s="12"/>
      <c r="D13" s="12"/>
      <c r="E13" s="12"/>
      <c r="F13" s="37"/>
    </row>
    <row r="14" spans="1:7" x14ac:dyDescent="0.25">
      <c r="A14" s="1" t="s">
        <v>103</v>
      </c>
      <c r="B14" s="40">
        <v>2.9000000000000001E-2</v>
      </c>
      <c r="C14" s="43">
        <f>Ratios!E34</f>
        <v>0.10586499802628695</v>
      </c>
      <c r="D14" s="43">
        <f>Ratios!G34</f>
        <v>6.6148195382551275E-2</v>
      </c>
      <c r="E14" s="43">
        <f>Ratios!I34</f>
        <v>7.4181674162729855E-3</v>
      </c>
      <c r="F14" s="44">
        <f t="shared" si="0"/>
        <v>5.9810453608370402E-2</v>
      </c>
    </row>
    <row r="15" spans="1:7" x14ac:dyDescent="0.25">
      <c r="B15" s="36"/>
      <c r="C15" s="12"/>
      <c r="D15" s="12"/>
      <c r="E15" s="12"/>
      <c r="F15" s="37"/>
    </row>
    <row r="16" spans="1:7" x14ac:dyDescent="0.25">
      <c r="A16" s="1" t="s">
        <v>104</v>
      </c>
      <c r="B16" s="40">
        <v>8.7999999999999995E-2</v>
      </c>
      <c r="C16" s="43">
        <f>Ratios!E12</f>
        <v>0.16826358212300768</v>
      </c>
      <c r="D16" s="43">
        <f>Ratios!G12</f>
        <v>8.9536406626616841E-2</v>
      </c>
      <c r="E16" s="43">
        <f>Ratios!I12</f>
        <v>7.8566300038501163E-3</v>
      </c>
      <c r="F16" s="44">
        <f t="shared" si="0"/>
        <v>8.8552206251158214E-2</v>
      </c>
    </row>
    <row r="17" spans="1:6" x14ac:dyDescent="0.25">
      <c r="B17" s="36"/>
      <c r="C17" s="12"/>
      <c r="D17" s="12"/>
      <c r="E17" s="12"/>
      <c r="F17" s="37"/>
    </row>
    <row r="18" spans="1:6" x14ac:dyDescent="0.25">
      <c r="A18" s="1" t="s">
        <v>105</v>
      </c>
      <c r="B18" s="40">
        <v>0.17499999999999999</v>
      </c>
      <c r="C18" s="43">
        <f>Ratios!E22</f>
        <v>0.28262768910020453</v>
      </c>
      <c r="D18" s="43">
        <f>Ratios!G22</f>
        <v>0.16684090499563178</v>
      </c>
      <c r="E18" s="43">
        <f>Ratios!I22</f>
        <v>1.9541777754886479E-2</v>
      </c>
      <c r="F18" s="44">
        <f t="shared" si="0"/>
        <v>0.15633679061690758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8"/>
  <sheetViews>
    <sheetView zoomScale="90" zoomScaleNormal="90" workbookViewId="0">
      <selection activeCell="B11" sqref="B11"/>
    </sheetView>
  </sheetViews>
  <sheetFormatPr baseColWidth="10" defaultRowHeight="15" x14ac:dyDescent="0.25"/>
  <cols>
    <col min="1" max="1" width="11.42578125" style="1"/>
    <col min="2" max="2" width="28.5703125" style="1" bestFit="1" customWidth="1"/>
    <col min="3" max="3" width="11.42578125" style="1"/>
    <col min="4" max="4" width="3.28515625" style="1" customWidth="1"/>
    <col min="5" max="5" width="11.42578125" style="1"/>
    <col min="6" max="6" width="2" style="1" bestFit="1" customWidth="1"/>
    <col min="7" max="7" width="11.42578125" style="1"/>
    <col min="8" max="8" width="2" style="1" bestFit="1" customWidth="1"/>
    <col min="9" max="16384" width="11.42578125" style="1"/>
  </cols>
  <sheetData>
    <row r="1" spans="2:9" x14ac:dyDescent="0.25">
      <c r="B1" s="59" t="s">
        <v>108</v>
      </c>
      <c r="C1" s="59"/>
      <c r="D1" s="59"/>
      <c r="E1" s="59"/>
      <c r="F1" s="59"/>
      <c r="G1" s="59"/>
      <c r="H1" s="59"/>
      <c r="I1" s="59"/>
    </row>
    <row r="3" spans="2:9" x14ac:dyDescent="0.25">
      <c r="B3" s="4" t="s">
        <v>117</v>
      </c>
    </row>
    <row r="4" spans="2:9" ht="15.75" thickBot="1" x14ac:dyDescent="0.3"/>
    <row r="5" spans="2:9" ht="15.75" thickTop="1" x14ac:dyDescent="0.25">
      <c r="C5" s="47" t="s">
        <v>109</v>
      </c>
      <c r="D5" s="48" t="s">
        <v>111</v>
      </c>
      <c r="E5" s="49" t="s">
        <v>109</v>
      </c>
      <c r="F5" s="48" t="s">
        <v>114</v>
      </c>
      <c r="G5" s="49" t="s">
        <v>112</v>
      </c>
      <c r="H5" s="48" t="s">
        <v>114</v>
      </c>
      <c r="I5" s="50" t="s">
        <v>113</v>
      </c>
    </row>
    <row r="6" spans="2:9" ht="15.75" thickBot="1" x14ac:dyDescent="0.3">
      <c r="C6" s="51" t="s">
        <v>110</v>
      </c>
      <c r="D6" s="52"/>
      <c r="E6" s="52" t="s">
        <v>112</v>
      </c>
      <c r="F6" s="52"/>
      <c r="G6" s="52" t="s">
        <v>113</v>
      </c>
      <c r="H6" s="52"/>
      <c r="I6" s="53" t="s">
        <v>17</v>
      </c>
    </row>
    <row r="7" spans="2:9" ht="15.75" thickTop="1" x14ac:dyDescent="0.25"/>
    <row r="8" spans="2:9" x14ac:dyDescent="0.25">
      <c r="B8" s="4" t="s">
        <v>106</v>
      </c>
      <c r="C8" s="54">
        <f>E8*G8*I8</f>
        <v>0.1305</v>
      </c>
      <c r="D8" s="12" t="s">
        <v>111</v>
      </c>
      <c r="E8" s="43">
        <v>2.9000000000000001E-2</v>
      </c>
      <c r="F8" s="12" t="s">
        <v>114</v>
      </c>
      <c r="G8" s="12">
        <v>3</v>
      </c>
      <c r="H8" s="12" t="s">
        <v>114</v>
      </c>
      <c r="I8" s="12">
        <v>1.5</v>
      </c>
    </row>
    <row r="9" spans="2:9" x14ac:dyDescent="0.25">
      <c r="D9" s="12"/>
    </row>
    <row r="10" spans="2:9" x14ac:dyDescent="0.25">
      <c r="B10" s="4" t="s">
        <v>116</v>
      </c>
      <c r="D10" s="12"/>
    </row>
    <row r="11" spans="2:9" x14ac:dyDescent="0.25">
      <c r="D11" s="12"/>
    </row>
    <row r="12" spans="2:9" x14ac:dyDescent="0.25">
      <c r="B12" s="1">
        <v>2007</v>
      </c>
      <c r="C12" s="3">
        <f>E12*G12*I12</f>
        <v>0.28262768910020453</v>
      </c>
      <c r="D12" s="12" t="s">
        <v>111</v>
      </c>
      <c r="E12" s="43">
        <f>Ratios!E37</f>
        <v>5.5049869150133768E-2</v>
      </c>
      <c r="F12" s="12"/>
      <c r="G12" s="41">
        <f>Ratios!E40</f>
        <v>3.0565664318676915</v>
      </c>
      <c r="H12" s="12"/>
      <c r="I12" s="41">
        <f>Ratios!E75</f>
        <v>1.6796723660238726</v>
      </c>
    </row>
    <row r="13" spans="2:9" x14ac:dyDescent="0.25">
      <c r="D13" s="12"/>
      <c r="E13" s="12"/>
      <c r="F13" s="12"/>
      <c r="G13" s="12"/>
      <c r="H13" s="12"/>
      <c r="I13" s="12"/>
    </row>
    <row r="14" spans="2:9" x14ac:dyDescent="0.25">
      <c r="B14" s="1">
        <v>2008</v>
      </c>
      <c r="C14" s="3">
        <f>E14*G14*I14</f>
        <v>0.16684090499563178</v>
      </c>
      <c r="D14" s="12" t="s">
        <v>111</v>
      </c>
      <c r="E14" s="43">
        <f>Ratios!G37</f>
        <v>3.4397109254528296E-2</v>
      </c>
      <c r="F14" s="12"/>
      <c r="G14" s="41">
        <f>Ratios!G40</f>
        <v>2.6030212586782882</v>
      </c>
      <c r="H14" s="12"/>
      <c r="I14" s="41">
        <f>Ratios!G75</f>
        <v>1.8633862054726946</v>
      </c>
    </row>
    <row r="15" spans="2:9" x14ac:dyDescent="0.25">
      <c r="D15" s="12"/>
      <c r="E15" s="12"/>
      <c r="F15" s="12"/>
      <c r="G15" s="12"/>
      <c r="H15" s="12"/>
      <c r="I15" s="12"/>
    </row>
    <row r="16" spans="2:9" x14ac:dyDescent="0.25">
      <c r="B16" s="1">
        <v>2009</v>
      </c>
      <c r="C16" s="3">
        <f>E16*G16*I16</f>
        <v>1.9541777754886479E-2</v>
      </c>
      <c r="D16" s="12" t="s">
        <v>111</v>
      </c>
      <c r="E16" s="43">
        <f>Ratios!I37</f>
        <v>3.8574756670651544E-3</v>
      </c>
      <c r="F16" s="12"/>
      <c r="G16" s="41">
        <f>Ratios!I40</f>
        <v>2.0367283378945067</v>
      </c>
      <c r="H16" s="12"/>
      <c r="I16" s="41">
        <f>Ratios!I75</f>
        <v>2.487297702107659</v>
      </c>
    </row>
    <row r="17" spans="2:9" x14ac:dyDescent="0.25">
      <c r="D17" s="12"/>
    </row>
    <row r="18" spans="2:9" x14ac:dyDescent="0.25">
      <c r="B18" s="4" t="s">
        <v>115</v>
      </c>
      <c r="C18" s="55">
        <f>AVERAGE(C12:C16)</f>
        <v>0.15633679061690758</v>
      </c>
      <c r="D18" s="43" t="s">
        <v>111</v>
      </c>
      <c r="E18" s="43">
        <f>AVERAGE(E12:E16)</f>
        <v>3.1101484690575738E-2</v>
      </c>
      <c r="F18" s="43"/>
      <c r="G18" s="41">
        <f>AVERAGE(G12:G16)</f>
        <v>2.5654386761468291</v>
      </c>
      <c r="H18" s="41"/>
      <c r="I18" s="41">
        <f>AVERAGE(I12:I16)</f>
        <v>2.0101187578680757</v>
      </c>
    </row>
  </sheetData>
  <mergeCells count="1">
    <mergeCell ref="B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Vertical</vt:lpstr>
      <vt:lpstr>Horizontal</vt:lpstr>
      <vt:lpstr>Ratios</vt:lpstr>
      <vt:lpstr>Comparativo</vt:lpstr>
      <vt:lpstr>Du Pont</vt:lpstr>
    </vt:vector>
  </TitlesOfParts>
  <Company>BianchiVendingChile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BVG Chile</dc:creator>
  <cp:lastModifiedBy>Andres Cabrera</cp:lastModifiedBy>
  <dcterms:created xsi:type="dcterms:W3CDTF">2010-07-03T18:52:45Z</dcterms:created>
  <dcterms:modified xsi:type="dcterms:W3CDTF">2024-03-04T17:36:25Z</dcterms:modified>
</cp:coreProperties>
</file>